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Courses\duyiFe\assets\"/>
    </mc:Choice>
  </mc:AlternateContent>
  <xr:revisionPtr revIDLastSave="0" documentId="13_ncr:1_{74B11DB3-9360-4953-A645-E14953843564}" xr6:coauthVersionLast="47" xr6:coauthVersionMax="47" xr10:uidLastSave="{00000000-0000-0000-0000-000000000000}"/>
  <bookViews>
    <workbookView xWindow="1845" yWindow="1860" windowWidth="21600" windowHeight="11820" tabRatio="722" firstSheet="17" activeTab="20" xr2:uid="{977D219B-3D5A-4B74-BC43-A61DD328A31A}"/>
  </bookViews>
  <sheets>
    <sheet name="1HTML_scratch" sheetId="9" r:id="rId1"/>
    <sheet name="2HTML_guide" sheetId="8" r:id="rId2"/>
    <sheet name="3HTML_end" sheetId="7" r:id="rId3"/>
    <sheet name="4HTML_proj" sheetId="10" r:id="rId4"/>
    <sheet name="5JS_intro" sheetId="6" r:id="rId5"/>
    <sheet name="6JS_end" sheetId="1" r:id="rId6"/>
    <sheet name="7JS_proj" sheetId="2" r:id="rId7"/>
    <sheet name="8H5CSS3" sheetId="3" r:id="rId8"/>
    <sheet name="9JS_ES6" sheetId="4" r:id="rId9"/>
    <sheet name="10Coder_proj" sheetId="5" r:id="rId10"/>
    <sheet name="11JS_dtl_DIY" sheetId="18" r:id="rId11"/>
    <sheet name="12Network" sheetId="11" r:id="rId12"/>
    <sheet name="13Git" sheetId="12" r:id="rId13"/>
    <sheet name="14ThirdLib" sheetId="13" r:id="rId14"/>
    <sheet name="15Build" sheetId="14" r:id="rId15"/>
    <sheet name="16Vue_intro" sheetId="15" r:id="rId16"/>
    <sheet name="17Vue_scratch" sheetId="19" r:id="rId17"/>
    <sheet name="18Webpack" sheetId="21" r:id="rId18"/>
    <sheet name="19Vue_comp" sheetId="16" r:id="rId19"/>
    <sheet name="Vue3" sheetId="23" r:id="rId20"/>
    <sheet name="Vue3_new" sheetId="24" r:id="rId21"/>
    <sheet name="NodeJS" sheetId="26" r:id="rId22"/>
    <sheet name="Lowcode_proj" sheetId="25" r:id="rId23"/>
    <sheet name="Miniapp" sheetId="17" r:id="rId24"/>
    <sheet name="TS_complete" sheetId="27" r:id="rId25"/>
    <sheet name="TS_basic" sheetId="28" r:id="rId26"/>
    <sheet name="TS_pro" sheetId="29" r:id="rId27"/>
    <sheet name="Echarts" sheetId="20" r:id="rId28"/>
    <sheet name="BPMN" sheetId="22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4" l="1"/>
  <c r="D103" i="24"/>
  <c r="D59" i="24"/>
  <c r="D36" i="24"/>
  <c r="E73" i="26"/>
  <c r="E65" i="26"/>
  <c r="E38" i="26"/>
  <c r="E25" i="26"/>
  <c r="E16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8" i="26"/>
  <c r="D19" i="26"/>
  <c r="D20" i="26"/>
  <c r="D21" i="26"/>
  <c r="D22" i="26"/>
  <c r="D23" i="26"/>
  <c r="D24" i="26"/>
  <c r="D25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7" i="26"/>
  <c r="D68" i="26"/>
  <c r="D69" i="26"/>
  <c r="D70" i="26"/>
  <c r="D71" i="26"/>
  <c r="D72" i="26"/>
  <c r="D73" i="26"/>
  <c r="D2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3" i="24"/>
  <c r="D4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2" i="16"/>
  <c r="D3" i="16"/>
  <c r="D4" i="16"/>
  <c r="D5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3" i="16"/>
  <c r="D24" i="16"/>
  <c r="D25" i="16"/>
  <c r="D26" i="16"/>
  <c r="D27" i="16"/>
  <c r="D28" i="16"/>
  <c r="D29" i="16"/>
  <c r="D30" i="16"/>
  <c r="D31" i="16"/>
  <c r="D32" i="16"/>
  <c r="D33" i="16"/>
  <c r="D35" i="16"/>
  <c r="D36" i="16"/>
  <c r="F32" i="1"/>
  <c r="A66" i="29"/>
  <c r="A53" i="28"/>
  <c r="A105" i="27"/>
  <c r="A74" i="26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3" i="21"/>
  <c r="D24" i="21"/>
  <c r="D25" i="21"/>
  <c r="D26" i="21"/>
  <c r="D27" i="21"/>
  <c r="D28" i="21"/>
  <c r="D29" i="21"/>
  <c r="D30" i="21"/>
  <c r="D32" i="21"/>
  <c r="D33" i="21"/>
  <c r="D34" i="21"/>
  <c r="D35" i="21"/>
  <c r="D36" i="21"/>
  <c r="D37" i="21"/>
  <c r="D38" i="21"/>
  <c r="D39" i="21"/>
  <c r="D40" i="21"/>
  <c r="D41" i="21"/>
  <c r="D43" i="21"/>
  <c r="D44" i="21"/>
  <c r="D45" i="21"/>
  <c r="D46" i="21"/>
  <c r="D47" i="21"/>
  <c r="D48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3" i="21"/>
  <c r="D64" i="21"/>
  <c r="D65" i="21"/>
  <c r="D66" i="21"/>
  <c r="D67" i="21"/>
  <c r="D68" i="21"/>
  <c r="G99" i="6"/>
  <c r="G89" i="6"/>
  <c r="A24" i="25"/>
  <c r="A103" i="24"/>
  <c r="A25" i="23"/>
  <c r="A22" i="22"/>
  <c r="A69" i="21"/>
  <c r="A54" i="20"/>
  <c r="A10" i="3"/>
  <c r="A11" i="14"/>
  <c r="A10" i="13"/>
  <c r="A10" i="12"/>
  <c r="A16" i="11"/>
  <c r="F36" i="1"/>
  <c r="F25" i="1"/>
  <c r="F20" i="1"/>
  <c r="F14" i="1"/>
  <c r="F8" i="1"/>
  <c r="A21" i="19"/>
  <c r="A37" i="16"/>
  <c r="A46" i="15"/>
  <c r="A114" i="18"/>
  <c r="A51" i="17"/>
  <c r="A5" i="5"/>
  <c r="A12" i="4"/>
  <c r="A30" i="2"/>
  <c r="A37" i="1"/>
  <c r="A83" i="6"/>
  <c r="A47" i="9"/>
  <c r="A89" i="8"/>
  <c r="A9" i="7"/>
  <c r="A17" i="10"/>
</calcChain>
</file>

<file path=xl/sharedStrings.xml><?xml version="1.0" encoding="utf-8"?>
<sst xmlns="http://schemas.openxmlformats.org/spreadsheetml/2006/main" count="1379" uniqueCount="1204">
  <si>
    <t>1. 环境准备</t>
  </si>
  <si>
    <t>2. 知识回顾-数据的表达1</t>
  </si>
  <si>
    <t>3. 知识回顾-数据的表达2</t>
  </si>
  <si>
    <t>4. 知识回顾-数据的表达3</t>
  </si>
  <si>
    <t>5. 知识回顾-数据的运算</t>
  </si>
  <si>
    <t>7. 知识回顾-流程的切割</t>
  </si>
  <si>
    <t>8. 核心概念-数据的存储和传递</t>
  </si>
  <si>
    <t>9. 核心概念-数据的作用域</t>
  </si>
  <si>
    <t>10. 核心概念-全局对象</t>
  </si>
  <si>
    <t>11. 核心概念-构造函数</t>
  </si>
  <si>
    <t>12. 核心概念-原型</t>
  </si>
  <si>
    <t>13. 核心概念-这是啥？</t>
  </si>
  <si>
    <t>14. 核心概念-原型链</t>
  </si>
  <si>
    <t>15. 核心概念-继承</t>
  </si>
  <si>
    <t>16. 标准库-数字和字符串</t>
  </si>
  <si>
    <t>17. 标准库-数学</t>
  </si>
  <si>
    <t>18. 标准库-日期</t>
  </si>
  <si>
    <t>19. 标准库-数组</t>
  </si>
  <si>
    <t>20. WebAPI-BOM</t>
  </si>
  <si>
    <t>21. WebAPI-玩转DOM</t>
  </si>
  <si>
    <t>22. WebAPI-事件</t>
  </si>
  <si>
    <t>23. WebAPI-事件默认行为</t>
  </si>
  <si>
    <t>24. WebAPI-DOM尺寸和位置</t>
  </si>
  <si>
    <t>25. WebAPI-事件传播机制</t>
  </si>
  <si>
    <t>26. 技巧-在循环中注册事件</t>
  </si>
  <si>
    <t>27. 技巧-回调函数</t>
  </si>
  <si>
    <t>28. 技巧-函数防抖</t>
  </si>
  <si>
    <t>29. 标准库-正则表达式</t>
  </si>
  <si>
    <t>30. 核心概念-浏览器渲染原理</t>
  </si>
  <si>
    <t>31. 核心概念-异常</t>
  </si>
  <si>
    <t>32. 技巧-断点调试</t>
  </si>
  <si>
    <t>6. 知识回顾-数据的流程1</t>
    <phoneticPr fontId="1" type="noConversion"/>
  </si>
  <si>
    <t>6. 知识回顾-数据的流程2</t>
  </si>
  <si>
    <t>6. 知识回顾-数据的流程3</t>
  </si>
  <si>
    <t>6. 知识回顾-数据的流程4</t>
  </si>
  <si>
    <t>Title</t>
    <phoneticPr fontId="1" type="noConversion"/>
  </si>
  <si>
    <t>Minutes</t>
    <phoneticPr fontId="1" type="noConversion"/>
  </si>
  <si>
    <t>Seconds</t>
    <phoneticPr fontId="1" type="noConversion"/>
  </si>
  <si>
    <t>day</t>
    <phoneticPr fontId="1" type="noConversion"/>
  </si>
  <si>
    <t>01. 文字滚动效果 - 袁进</t>
  </si>
  <si>
    <t>02. 手风琴效果 - 袁进</t>
  </si>
  <si>
    <t>03. 动态排序表格 - 韩刚</t>
  </si>
  <si>
    <t>04. js实现三级联动效果 - 丁永志</t>
  </si>
  <si>
    <t>05. 腾讯视频重磅推荐模块 - 丁永志</t>
  </si>
  <si>
    <t>06. 图片放大镜 - 丁永志</t>
  </si>
  <si>
    <t>07. 积分抽奖效果 - 韩刚</t>
  </si>
  <si>
    <t>08. JS实现倒计时特效 - 韩刚</t>
  </si>
  <si>
    <t>09. 无缝轮播图 - 袁进</t>
  </si>
  <si>
    <t>10. 图片瀑布流 - 谢杰</t>
  </si>
  <si>
    <t>11. 分页插件 - 谢杰</t>
  </si>
  <si>
    <t>12. 五子棋游戏 - 谢杰</t>
  </si>
  <si>
    <t>13. 读心术小游戏 - 谢杰</t>
  </si>
  <si>
    <t>14. 图片拖动验证 - 谢杰</t>
  </si>
  <si>
    <t>Day</t>
    <phoneticPr fontId="1" type="noConversion"/>
  </si>
  <si>
    <t>01. CSS3视觉</t>
  </si>
  <si>
    <t>02. CSS3过渡和动画</t>
  </si>
  <si>
    <t>03. CSS3布局</t>
  </si>
  <si>
    <t>04. CSS3更多知识</t>
  </si>
  <si>
    <t>05. 网页简历</t>
  </si>
  <si>
    <t>06. HTML5文档</t>
  </si>
  <si>
    <t>07. HTML5API</t>
  </si>
  <si>
    <t>08. H5综合练习</t>
  </si>
  <si>
    <t>01. 零碎的改动</t>
  </si>
  <si>
    <t>02. 数组</t>
  </si>
  <si>
    <t>03. 对象</t>
  </si>
  <si>
    <t>04. 函数</t>
  </si>
  <si>
    <t>05. 事件循环</t>
  </si>
  <si>
    <t>06. Promise基础</t>
  </si>
  <si>
    <t>07. Promise的链式调用</t>
  </si>
  <si>
    <t>08. Promise的静态方法</t>
  </si>
  <si>
    <t>09. async和await</t>
  </si>
  <si>
    <t>10. Promise相关面试题</t>
  </si>
  <si>
    <t>01. 歌词滚动</t>
  </si>
  <si>
    <t>02. 王者荣耀官网英雄查询</t>
  </si>
  <si>
    <t>03. 美团省市级联</t>
  </si>
  <si>
    <t>01. HTML+CSS开发环境准备（4节） (4小节)</t>
  </si>
  <si>
    <t>02. HTML元素及路径 1（6节） (6小节)</t>
  </si>
  <si>
    <t>03. HTML元素及路径 2（5节） (5小节)</t>
  </si>
  <si>
    <t>04. HTML百度新闻案例练习（3节） (2小节)</t>
  </si>
  <si>
    <t>05. CSS选择器、盒模型添加样式 1（7节） (7小节)</t>
  </si>
  <si>
    <t>06. CSS选择器、盒模型添加样式 2（4节） (4小节)</t>
  </si>
  <si>
    <t>07. CSS基础 二（10节） (10小节)</t>
  </si>
  <si>
    <t>08. HTML进阶（7节） (7小节)</t>
  </si>
  <si>
    <t>09. CSS进阶 1（10节） (10小节)</t>
  </si>
  <si>
    <t>10. CSS进阶 2（5节） (5小节)</t>
  </si>
  <si>
    <t>11. 项目实战-豆瓣首页 1（10节） (10小节)</t>
  </si>
  <si>
    <t>12. 项目实战-豆瓣首页 2（2节） (2小节)</t>
  </si>
  <si>
    <t>13. 结语（2节） (2小节)</t>
  </si>
  <si>
    <t>1-1. 课程概述</t>
  </si>
  <si>
    <t>1-2. HTML和CSS概述</t>
  </si>
  <si>
    <t>1-3.学习须知</t>
  </si>
  <si>
    <t>1-4. 开发环境准备</t>
  </si>
  <si>
    <t>2-1. 第一个网页</t>
  </si>
  <si>
    <t>2-2. 语义化</t>
  </si>
  <si>
    <t>2-3.袁老师有话要说</t>
  </si>
  <si>
    <t>2-4. 文本元素</t>
  </si>
  <si>
    <t>2-5. HTML实体</t>
  </si>
  <si>
    <t>2-6. a元素</t>
  </si>
  <si>
    <t>3-1. 路径的写法</t>
  </si>
  <si>
    <t>3-2. 图片元素</t>
  </si>
  <si>
    <t>3-3. 多媒体元素</t>
  </si>
  <si>
    <t>3-4. 列表元素</t>
  </si>
  <si>
    <t>3-5. 容器元素</t>
  </si>
  <si>
    <t>4-1. 元素包含关系</t>
  </si>
  <si>
    <t>4-2. 练习-百度新闻</t>
  </si>
  <si>
    <t>5-1. 为网页添加样式</t>
  </si>
  <si>
    <t>5-2. 常见样式声明</t>
  </si>
  <si>
    <t>5-3. 选择器</t>
  </si>
  <si>
    <t>5-4. 层叠上次学习</t>
  </si>
  <si>
    <t>5-5. 继承</t>
  </si>
  <si>
    <t>5-6. 属性值的计算过程</t>
  </si>
  <si>
    <t>5-7. 盒模型mp4</t>
  </si>
  <si>
    <t>6-1. 盒模型应用</t>
  </si>
  <si>
    <t>6-2.学习须知</t>
  </si>
  <si>
    <t>6-3. 行盒盒模型</t>
  </si>
  <si>
    <t>6-4. 常规流</t>
  </si>
  <si>
    <t>7-1. 常规流练习</t>
  </si>
  <si>
    <t>7-2. 浮动</t>
  </si>
  <si>
    <t>7-3. 浮动练习</t>
  </si>
  <si>
    <t>7-4. 定位</t>
  </si>
  <si>
    <t>7-5. 定位练习1 - 二级菜单</t>
  </si>
  <si>
    <t>7-6. 定位练习2-弹出层</t>
  </si>
  <si>
    <t>7-7. 定位练习3-轮播图</t>
  </si>
  <si>
    <t>7-8. 更多的选择器</t>
  </si>
  <si>
    <t>7-9. 更多的样式</t>
  </si>
  <si>
    <t>7-10. 背景图练习[片尾]</t>
  </si>
  <si>
    <t>8-1. iframe元素</t>
  </si>
  <si>
    <t>8-2. 在页面中使用flash</t>
  </si>
  <si>
    <t>8-3. 表单元素</t>
  </si>
  <si>
    <t>8-4. 美化表单元素</t>
  </si>
  <si>
    <t>8-5. 表单练习</t>
  </si>
  <si>
    <t>8-6. 表格元素[补充]</t>
  </si>
  <si>
    <t>8-7.其他元素[补充]</t>
  </si>
  <si>
    <t>9-1. @规则</t>
  </si>
  <si>
    <t>9-2. web字体和图标</t>
  </si>
  <si>
    <t>9-3. 块级格式化上下文</t>
  </si>
  <si>
    <t>9-4. 布局[2606]</t>
  </si>
  <si>
    <t>9-5. [扩展]浮动的细节规则</t>
  </si>
  <si>
    <t>9-6. [扩展]行高的取值</t>
  </si>
  <si>
    <t>9-7. [扩展]body的背景</t>
  </si>
  <si>
    <t>9-8. 行盒的垂直对齐</t>
  </si>
  <si>
    <t>9-9. [扩展]参考线-深入理解字体</t>
  </si>
  <si>
    <t>9-10. 堆叠上下文[片尾]</t>
  </si>
  <si>
    <t>10-1. [扩展]svg</t>
  </si>
  <si>
    <t>10-2. [扩展]数据链接</t>
  </si>
  <si>
    <t>10-3 浏览器兼容性</t>
  </si>
  <si>
    <t>10-4 居中总结</t>
  </si>
  <si>
    <t>10-5 样式补充</t>
  </si>
  <si>
    <t>11-1. [重要]项目开发注意事项</t>
  </si>
  <si>
    <t>11-2 工程搭建</t>
  </si>
  <si>
    <t>11-3 制作页面头部</t>
  </si>
  <si>
    <t>11-4 登录注册区域</t>
  </si>
  <si>
    <t>11-5 横幅区域</t>
  </si>
  <si>
    <t>11-6 热点</t>
  </si>
  <si>
    <t>11-7 豆瓣时间和视频</t>
  </si>
  <si>
    <t>11-8 豆瓣电影</t>
  </si>
  <si>
    <t>11-9 小组和读书</t>
  </si>
  <si>
    <t>11-10 豆瓣音乐</t>
  </si>
  <si>
    <t>12-1 豆品和同城</t>
  </si>
  <si>
    <t>12-2 页脚-完结撒花</t>
  </si>
  <si>
    <t>13-1.结语</t>
  </si>
  <si>
    <t>13-2.短小而重要的一节</t>
  </si>
  <si>
    <t>01. 前端行业发展史（1节） (1小节)</t>
  </si>
  <si>
    <t>02. 课前须知及「编辑器」使用方法（1节） (1小节)</t>
  </si>
  <si>
    <t>03. HTML初级标签高级标签（3节） (3小节)</t>
  </si>
  <si>
    <t>04. CSS选择器、盒模型在企业开发中应用（4节） (4小节)</t>
  </si>
  <si>
    <t>05. html - css lesson3高级篇（3节） (3小节)</t>
  </si>
  <si>
    <t>06. html - css lesson4升华篇（4节） (4小节)</t>
  </si>
  <si>
    <t>07. IT行业职业发展之路（2节） (2小节)</t>
  </si>
  <si>
    <t>08. 渡一风采（1节） (1小节)</t>
  </si>
  <si>
    <t>09. 淘宝静态页面 一（10节） (10小节)</t>
  </si>
  <si>
    <t>10. 淘宝静态页面 二（6节） (6小节)</t>
  </si>
  <si>
    <t>1.课程前导</t>
  </si>
  <si>
    <t>1.课前须知及「编辑器」使用方法</t>
  </si>
  <si>
    <t>1.html初级篇-基础标签</t>
  </si>
  <si>
    <t>2.html进阶篇-高级标签</t>
  </si>
  <si>
    <t>3.学员必听</t>
  </si>
  <si>
    <t>1.css初级篇-css引入css基础选择器选择器权重</t>
  </si>
  <si>
    <t>2.css复杂选择器，权重计算问题，css基础属性</t>
  </si>
  <si>
    <t>3.成哥有话说</t>
  </si>
  <si>
    <t>4.css企业开发经验，习惯，盒子模型，层模型</t>
  </si>
  <si>
    <t>1.实例：居中五环，两栏布局，两个常见bug，BFC</t>
  </si>
  <si>
    <t>2.简短而重要的环节</t>
  </si>
  <si>
    <t>3.css高级篇-包裹浮动元素，开发实例，经验</t>
  </si>
  <si>
    <t>1.文字溢出处理，背景图片处理，企业开发经验</t>
  </si>
  <si>
    <t>2.一个特别的辅助工具</t>
  </si>
  <si>
    <t>3.css升华篇-css要点补充说明</t>
  </si>
  <si>
    <t>4.css升华篇-项目演练</t>
  </si>
  <si>
    <t>1.大学篇</t>
  </si>
  <si>
    <t>2.职业篇</t>
  </si>
  <si>
    <t>1.桃李不言，下自成蹊</t>
  </si>
  <si>
    <t>1.项目前准备</t>
  </si>
  <si>
    <t>2.基本结构与样式</t>
  </si>
  <si>
    <t>3.头部信息结构</t>
  </si>
  <si>
    <t>4.头部信息样式与自定义图标</t>
  </si>
  <si>
    <t>5.头部广告结构与样式</t>
  </si>
  <si>
    <t>6.头部搜索结构与样式</t>
  </si>
  <si>
    <t>7.导航结构与样式</t>
  </si>
  <si>
    <t>8.首屏内容结构</t>
  </si>
  <si>
    <t>9.侧边导航结构与样式</t>
  </si>
  <si>
    <t>10.图片区域结构与样式</t>
  </si>
  <si>
    <t>1.淘宝头条结构与样式</t>
  </si>
  <si>
    <t>2.用户区域结构与样式</t>
  </si>
  <si>
    <t>3.公告区域结构与样式</t>
  </si>
  <si>
    <t>4.图标区域结构与样式</t>
  </si>
  <si>
    <t>5.有好货爱逛街结构与样式</t>
  </si>
  <si>
    <t>6.右侧固定导航结构与样式上次学习</t>
  </si>
  <si>
    <t>1. 补充重要知识</t>
  </si>
  <si>
    <t>2. 表单进阶-HTML</t>
  </si>
  <si>
    <t>3. 表单进阶-CSS</t>
  </si>
  <si>
    <t>4. 精灵图</t>
  </si>
  <si>
    <t>5. 绝对定位收官</t>
  </si>
  <si>
    <t>6. 属性值的计算过程</t>
  </si>
  <si>
    <t>7. 拓展知识</t>
  </si>
  <si>
    <t>01. 课程前导（1节） (1小节)</t>
  </si>
  <si>
    <t>03.js介绍,入门,js引入,变量,值类型,运算符（3节） (3小节)</t>
  </si>
  <si>
    <t>04. 比较运算符，逻辑运算符，条件语句，循环语句（3节） (3小节)</t>
  </si>
  <si>
    <t>05. 条件语句，初识引用值，typeof，类型转换（2节） (2小节)</t>
  </si>
  <si>
    <t>06. 函数，小练习，初识作用域（2节） (2小节)</t>
  </si>
  <si>
    <t>07. 递归，预编译（3节） (3小节)</t>
  </si>
  <si>
    <t>08. 神秘的课程（1节） (1小节)</t>
  </si>
  <si>
    <t>09. 作用域、作用域链精解，立即执行函数，闭包（4节） (4小节)</t>
  </si>
  <si>
    <t>10. 对象，包装类（2节） (2小节)</t>
  </si>
  <si>
    <t>11. 原型，原型链，call/apply（3节） (3小节)</t>
  </si>
  <si>
    <t>12. 继承模式，命名空间，对象枚举（2节） (2小节)</t>
  </si>
  <si>
    <t>13. this，笔试真题讲解（2节） (2小节)</t>
  </si>
  <si>
    <t>14. 实参列表，克隆，三目运算符，数组，类数组（3节） (3小节)</t>
  </si>
  <si>
    <t>15. 渡一风采（1节） (1小节)</t>
  </si>
  <si>
    <t>16. 数组去重，习题，答疑复习（2节） (2小节)</t>
  </si>
  <si>
    <t>17. try..catch，es5标准模式，dom（2节） (2小节)</t>
  </si>
  <si>
    <t>18. dom选择器，节点类型（1节） (1小节)</t>
  </si>
  <si>
    <t>19. dom继承树，dom基本操作（3节） (3小节)</t>
  </si>
  <si>
    <t>20. date对象，定时器（3节） (3小节)</t>
  </si>
  <si>
    <t>21. 获取窗口属性，获取dom尺寸，脚本化CSS（2节） (2小节)</t>
  </si>
  <si>
    <t>22. 事件1（3节） (2小节)</t>
  </si>
  <si>
    <t>23. 事件2（1节） (1小节)</t>
  </si>
  <si>
    <t>24. json，异步加载，时间线（2节） (2小节)</t>
  </si>
  <si>
    <t>25. 正则表达式（2节） (2小节)</t>
  </si>
  <si>
    <t>26. IT行业职业发展之路（2节） (2小节)</t>
  </si>
  <si>
    <t>1.javascript 浏览器发展史</t>
  </si>
  <si>
    <t>2.js介绍,入门,js引入,变量,值类型,运算符</t>
  </si>
  <si>
    <t>1.比较运算符,逻辑运算符</t>
  </si>
  <si>
    <t>2.条件语句,循环语句</t>
  </si>
  <si>
    <t>1.条件语句补充，初识引用值</t>
  </si>
  <si>
    <t>2.typeof，类型转换</t>
  </si>
  <si>
    <t>1.函数，小练习，初识作用域（上）</t>
  </si>
  <si>
    <t>2.函数，小练习，初识作用域（下）</t>
  </si>
  <si>
    <t>1.递归，预编译（上）</t>
  </si>
  <si>
    <t>3.递归，预编译（下）</t>
  </si>
  <si>
    <t>1.神秘的课程</t>
  </si>
  <si>
    <t>1.作用域、作用域链精解</t>
  </si>
  <si>
    <t>2.闭包、立即执行函数</t>
  </si>
  <si>
    <t>3.闭包（下）</t>
  </si>
  <si>
    <t>4.闭包精细版</t>
  </si>
  <si>
    <t>1.对象，包装类（上）</t>
  </si>
  <si>
    <t>2.对象，包装类（下）</t>
  </si>
  <si>
    <t>1.原型，原型链，callapply（上）</t>
  </si>
  <si>
    <t>2.原型，原型链，callapply（下）</t>
  </si>
  <si>
    <t>3.加入渡一学习群的途径</t>
  </si>
  <si>
    <t>1.继承模式，命名空间，对象枚举（上）</t>
  </si>
  <si>
    <t>2.继承模式，命名空间，对象枚举（下）</t>
  </si>
  <si>
    <t>this，笔试真题讲解（上）</t>
  </si>
  <si>
    <t>this，笔试真题讲解（下）</t>
  </si>
  <si>
    <t>1.arguments，克隆</t>
  </si>
  <si>
    <t>2.三目运算符</t>
  </si>
  <si>
    <t>3.数组，类数组</t>
  </si>
  <si>
    <t>1.数组去重，习题，答疑复习（上）</t>
  </si>
  <si>
    <t>2.数组去重，习题，答疑复习（下）</t>
  </si>
  <si>
    <t>1.try..catch，es5标准模式</t>
  </si>
  <si>
    <t>2.dom操作初探</t>
  </si>
  <si>
    <t>1.dom选择器，节点类型</t>
  </si>
  <si>
    <t>1.dom继承树，dom基本操作（上）</t>
  </si>
  <si>
    <t>2.dom继承树，dom基本操作（中）</t>
  </si>
  <si>
    <t>3.dom继承树，dom基本操作（下）</t>
  </si>
  <si>
    <t>date对象，定时器（上)</t>
  </si>
  <si>
    <t>date对象，定时器（中)</t>
  </si>
  <si>
    <t>date对象，定时器（下)</t>
  </si>
  <si>
    <t>获取窗口属性，获取dom尺寸，脚本化CSS(上)</t>
  </si>
  <si>
    <t>获取窗口属性，获取dom尺寸，脚本化CSS(下)</t>
  </si>
  <si>
    <t>1.事件1（上）</t>
  </si>
  <si>
    <t>2.事件1（下）</t>
  </si>
  <si>
    <t>1.事件2</t>
  </si>
  <si>
    <t>1.json，异步加载，时间线（上）当前学习</t>
  </si>
  <si>
    <t>2.json，异步加载，时间线（下）</t>
  </si>
  <si>
    <t>1.正则表达式（上）</t>
  </si>
  <si>
    <t>2.正则表达式（下）</t>
  </si>
  <si>
    <t>1. 搭建工程</t>
  </si>
  <si>
    <t>2. 顶部导航-主区域</t>
  </si>
  <si>
    <t>3. 顶部导航-购物车</t>
  </si>
  <si>
    <t>4. 头部-Logo和菜单</t>
  </si>
  <si>
    <t>5. 头部-二级菜单</t>
  </si>
  <si>
    <t>6. 头部-搜索区域</t>
  </si>
  <si>
    <t>7. 横幅-主区域</t>
  </si>
  <si>
    <t>8. 横幅-菜单</t>
  </si>
  <si>
    <t>9. 横幅2</t>
  </si>
  <si>
    <t>10. 主区域-广告</t>
  </si>
  <si>
    <t>11. 主区域-橱窗</t>
  </si>
  <si>
    <t>12. 页脚</t>
  </si>
  <si>
    <t>13. 右侧固定菜单</t>
  </si>
  <si>
    <t>14. 右侧二维码弹出</t>
  </si>
  <si>
    <t>15. 将你的页面分享给全世界</t>
  </si>
  <si>
    <t>h</t>
    <phoneticPr fontId="1" type="noConversion"/>
  </si>
  <si>
    <t>m</t>
    <phoneticPr fontId="1" type="noConversion"/>
  </si>
  <si>
    <t>s</t>
    <phoneticPr fontId="1" type="noConversion"/>
  </si>
  <si>
    <t>01. 概述</t>
  </si>
  <si>
    <t>02. 基本概念-客户端和服务器</t>
  </si>
  <si>
    <t>03. 基本概念-url</t>
  </si>
  <si>
    <t>04. PostMan 安装和使用</t>
  </si>
  <si>
    <t>05. 基本概念-http-part1</t>
  </si>
  <si>
    <t>06. 基本概念-http-part2</t>
  </si>
  <si>
    <t>08. 浏览器页面处理流程</t>
  </si>
  <si>
    <t>09. AJAX</t>
  </si>
  <si>
    <t>10. 聊天机器人-接口封装</t>
  </si>
  <si>
    <t>11. 聊天机器人-登录和注册</t>
  </si>
  <si>
    <t>12. 聊天机器人-首页</t>
  </si>
  <si>
    <t>13. 常见问题</t>
  </si>
  <si>
    <t>01. git基本概念</t>
  </si>
  <si>
    <t>02. git分支</t>
  </si>
  <si>
    <t>03. 远程分支</t>
  </si>
  <si>
    <t>04. 使用source tree管理源码</t>
  </si>
  <si>
    <t>05.（补充）无效的路径源问题</t>
  </si>
  <si>
    <t>06. 部署git pages</t>
  </si>
  <si>
    <t>07. git工作流</t>
  </si>
  <si>
    <t>01. jQuery</t>
  </si>
  <si>
    <t>02. Lodash</t>
  </si>
  <si>
    <t>03. Animate.css</t>
  </si>
  <si>
    <t>04. Axios</t>
  </si>
  <si>
    <t>05. MockJS</t>
  </si>
  <si>
    <t>06. Moment</t>
  </si>
  <si>
    <t>07. Echarts</t>
  </si>
  <si>
    <t>01. CommonJS</t>
  </si>
  <si>
    <t>02. ES Module</t>
  </si>
  <si>
    <t>03. 包管理器</t>
  </si>
  <si>
    <t>04. Less</t>
  </si>
  <si>
    <t>04-05.Windows系统下安装nvm</t>
  </si>
  <si>
    <t>04-05.Mac系统下安装nvm</t>
  </si>
  <si>
    <t>05. 构建工具的使用</t>
  </si>
  <si>
    <t>06. 分页电影列表案例</t>
  </si>
  <si>
    <t>第一章 微信小程序快速入门篇</t>
  </si>
  <si>
    <t>1-1. 初识微信小程序</t>
  </si>
  <si>
    <t>1-2. 小程序骨架—WXML</t>
  </si>
  <si>
    <t>1-3. 小程序外观—WXSS</t>
  </si>
  <si>
    <t>1-4. 用户交互核心—事件</t>
  </si>
  <si>
    <t>1-5. APP和Page构造器</t>
  </si>
  <si>
    <t>1-6. 你要到哪儿去—路由</t>
  </si>
  <si>
    <t>1-7. 小程序中的网络请求</t>
  </si>
  <si>
    <t>1-8. 小程序中的本地存储</t>
  </si>
  <si>
    <t>1-9. 翻译小程序效果演示</t>
  </si>
  <si>
    <t>1-10. 翻译小程序结构和样式</t>
  </si>
  <si>
    <t>1-11. 翻译小程序功能实现</t>
  </si>
  <si>
    <t>1-12. 发布小程序</t>
  </si>
  <si>
    <t>第二章 微信小程序组件篇</t>
  </si>
  <si>
    <t>2-1. 基础组件串烧</t>
  </si>
  <si>
    <t>2-2. 表单组件串烧</t>
  </si>
  <si>
    <t>2-3. 轮播图案例</t>
  </si>
  <si>
    <t>2-4. movable组件案例</t>
  </si>
  <si>
    <t>2-5. video组件案例</t>
  </si>
  <si>
    <t>2-6. 自定义组件part1</t>
  </si>
  <si>
    <t>2-7. 自定义组件part2</t>
  </si>
  <si>
    <t>2-8. 自定义组件part3</t>
  </si>
  <si>
    <t>2-9. 自定义组件案例—待办事项</t>
  </si>
  <si>
    <t>2-10. 使用第三方组件库</t>
  </si>
  <si>
    <t>第三章 微信小程序云开发篇</t>
  </si>
  <si>
    <t>3-1. 云开发介绍</t>
  </si>
  <si>
    <t>3-2. 云数据库</t>
  </si>
  <si>
    <t>3-3. 云存储</t>
  </si>
  <si>
    <t>3-4. 云函数</t>
  </si>
  <si>
    <t>3-5. 云开发综合案例—发表说说</t>
  </si>
  <si>
    <t>第四章 微信小程序架构篇</t>
  </si>
  <si>
    <t>4-1. 双线程架构</t>
  </si>
  <si>
    <t>4-2. Exparser设计原理</t>
  </si>
  <si>
    <t>4-3. WXSS编译与适配</t>
  </si>
  <si>
    <t>第五章 微信小程序常见应用篇</t>
  </si>
  <si>
    <t>5-1. 微信API—获取各种信息</t>
  </si>
  <si>
    <t>5-2. 微信API—小程序登录</t>
  </si>
  <si>
    <t>5-3. 微信API—分享功能</t>
  </si>
  <si>
    <t>5-4. 内置组件—Canvas制作涂鸦板案例</t>
  </si>
  <si>
    <t>5-5. 项目配置—小程序分包</t>
  </si>
  <si>
    <t>5-6. 微信API—扫码案例演示</t>
  </si>
  <si>
    <t>5-7. 综合案例—扫码综合演示</t>
  </si>
  <si>
    <t>5-8. 微信API—指南针案例</t>
  </si>
  <si>
    <t>5-9. 微信API—电量监控与拨打电话</t>
  </si>
  <si>
    <t>5-10. 微信API—截屏震动与添加联系人</t>
  </si>
  <si>
    <t>5-11. 微信API—动画案例</t>
  </si>
  <si>
    <t>5-12. 微信API—录音功能</t>
  </si>
  <si>
    <t>5-13. 微信API—下拉刷新和上拉加载</t>
  </si>
  <si>
    <t>5-14. 内置语法—WXS</t>
  </si>
  <si>
    <t>JavaScript详细版 - 袁进</t>
  </si>
  <si>
    <t>1. 概述</t>
  </si>
  <si>
    <t>1-2. JS语言概述</t>
  </si>
  <si>
    <t>1-3. 开发环境准备</t>
  </si>
  <si>
    <t>2. JS语法基础</t>
  </si>
  <si>
    <t>2-1. 第一个JS程序</t>
  </si>
  <si>
    <t>2-2. 数据和数据类型</t>
  </si>
  <si>
    <t>2-3. 变量</t>
  </si>
  <si>
    <t>2-4. 变量和对象</t>
  </si>
  <si>
    <t>2-5. 引用类型</t>
  </si>
  <si>
    <t>3. 运算符</t>
  </si>
  <si>
    <t>3-1. 运算符概述</t>
  </si>
  <si>
    <t>3-2. 算术运算符</t>
  </si>
  <si>
    <t>3-3. [作业讲解] 算术运算符</t>
  </si>
  <si>
    <t>3-4. 自增和自减</t>
  </si>
  <si>
    <t>3-5. 比较运算符</t>
  </si>
  <si>
    <t>3-6. 逻辑运算符</t>
  </si>
  <si>
    <t>3-7. [作业讲解] 逻辑运算符</t>
  </si>
  <si>
    <t>3-8. 三目运算符</t>
  </si>
  <si>
    <t>3-9. 运算符补充</t>
  </si>
  <si>
    <t>3-10. [扩展] 数字的存储</t>
  </si>
  <si>
    <t>3-11. [扩展] 位运算符</t>
  </si>
  <si>
    <t>3-12. [扩展] 求余和求模</t>
  </si>
  <si>
    <t>4. 流程控制</t>
  </si>
  <si>
    <t>4-1. 流程图</t>
  </si>
  <si>
    <t>4-2. if判断</t>
  </si>
  <si>
    <t>4-3. [作业讲解] if判断</t>
  </si>
  <si>
    <t>4-4. switch开关</t>
  </si>
  <si>
    <t>4-5. 循环</t>
  </si>
  <si>
    <t>4-6. 循环应用</t>
  </si>
  <si>
    <t>4-7. [作业讲解] 循环应用</t>
  </si>
  <si>
    <t>4-8. 数组</t>
  </si>
  <si>
    <t>4-9. 数组应用</t>
  </si>
  <si>
    <t>4-10. [作业讲解] 数组应用</t>
  </si>
  <si>
    <t>5. 函数</t>
  </si>
  <si>
    <t>5-1. 函数语法</t>
  </si>
  <si>
    <t>5-2. [作业讲解] 函数语法</t>
  </si>
  <si>
    <t>5-3. 作用域和闭包</t>
  </si>
  <si>
    <t>5-4. 函数表达式和this</t>
  </si>
  <si>
    <t>5-5. [作业讲解] 函数表达式和this</t>
  </si>
  <si>
    <t>5-6. 构造函数</t>
  </si>
  <si>
    <t>5-7. 函数的本质</t>
  </si>
  <si>
    <t>5-8. 递归</t>
  </si>
  <si>
    <t>6. 标准库</t>
  </si>
  <si>
    <t>6.1.Object和Function</t>
  </si>
  <si>
    <t>6.2.Array构造器</t>
  </si>
  <si>
    <t>6.3.[作业讲解]Array构造器</t>
  </si>
  <si>
    <t>6.4.原始类型包装器</t>
  </si>
  <si>
    <t>6.5.[作业讲解]原始类型包装器</t>
  </si>
  <si>
    <t>6.6. Math对象</t>
  </si>
  <si>
    <t>6.7.Date构造器</t>
  </si>
  <si>
    <t>6.8.[作业讲解]Date构造器</t>
  </si>
  <si>
    <t>6.9.1 正则表达式(1)</t>
  </si>
  <si>
    <t>6.9.2正则表达式(2)</t>
  </si>
  <si>
    <t>6.9.3正则表达式(3)</t>
  </si>
  <si>
    <t>6.10.错误处理</t>
  </si>
  <si>
    <t>7. dom核心</t>
  </si>
  <si>
    <t>7-1. WebApi概述</t>
  </si>
  <si>
    <t>7-2. 获取dom节点</t>
  </si>
  <si>
    <t>7-3. [作业讲解] 获取dom元素</t>
  </si>
  <si>
    <t>7-4. dom元素操作-1</t>
  </si>
  <si>
    <t>7-5. dom元素操作-2</t>
  </si>
  <si>
    <t>7-6. [作业讲解] dom元素操作</t>
  </si>
  <si>
    <t>7-7. dom元素样式</t>
  </si>
  <si>
    <t>7-8. [作业讲解] dom元素样式</t>
  </si>
  <si>
    <t>7-9. [作业讲解]拼图游戏-1</t>
  </si>
  <si>
    <t>7-10.  [作业讲解]拼图游戏-2</t>
  </si>
  <si>
    <t>8. dom事件</t>
  </si>
  <si>
    <t>8-1. 基础概念</t>
  </si>
  <si>
    <t>8-2. 事件注册</t>
  </si>
  <si>
    <t>8-3. 事件对象</t>
  </si>
  <si>
    <t>8-4. [作业讲解] 事件对象</t>
  </si>
  <si>
    <t>8-5. 事件类型-鼠标事件</t>
  </si>
  <si>
    <t>8-6. [作业讲解] 星星评分、放大镜</t>
  </si>
  <si>
    <t>8-7. 事件类型-键盘事件</t>
  </si>
  <si>
    <t>8-8. [作业讲解] 键盘事件</t>
  </si>
  <si>
    <t>8-9. 表单事件</t>
  </si>
  <si>
    <t>8-10. 页面状态事件</t>
  </si>
  <si>
    <t>8-11. 其他事件</t>
  </si>
  <si>
    <t>8-12. [作业讲解] 自定义右键菜单</t>
  </si>
  <si>
    <t>8-13. [作业讲解] 许愿墙</t>
  </si>
  <si>
    <t>8-14. 补充知识</t>
  </si>
  <si>
    <t>9. bom</t>
  </si>
  <si>
    <t>9-1. 计时器</t>
  </si>
  <si>
    <t>9-2. [作业讲解] 计时器</t>
  </si>
  <si>
    <t>9-3. [作业讲解] 无缝轮播图</t>
  </si>
  <si>
    <t>9-4. window对象</t>
  </si>
  <si>
    <t>9-5. [作业讲解] 提示插件</t>
  </si>
  <si>
    <t>10. JS进阶</t>
  </si>
  <si>
    <t>10-1. 原型和原型链</t>
  </si>
  <si>
    <t>10-2. 原型链的应用</t>
  </si>
  <si>
    <t>10-3. [扩展] 属性描述符</t>
  </si>
  <si>
    <t>10-4. 执行上下文</t>
  </si>
  <si>
    <t>10-5. 作用域链</t>
  </si>
  <si>
    <t>10-6. 事件循环</t>
  </si>
  <si>
    <t>10-7. 骚操作-对象混合和克隆</t>
  </si>
  <si>
    <t>10-8. 骚操作-函数防抖和函数节流</t>
  </si>
  <si>
    <t>10-9. [扩展] 骚操作-柯里化</t>
  </si>
  <si>
    <t>10-10. 骚操作-函数管道</t>
  </si>
  <si>
    <t>11. 案例实训</t>
  </si>
  <si>
    <t>11-1. 图片瀑布流</t>
  </si>
  <si>
    <t>11-2. 动画插件</t>
  </si>
  <si>
    <t>11-3. 文字滚动效果</t>
  </si>
  <si>
    <t>11-4. 手风琴效果</t>
  </si>
  <si>
    <t>11-5. 购物车</t>
  </si>
  <si>
    <t>11-6. 像素鸟小游戏-1</t>
  </si>
  <si>
    <t>11-7. 像素鸟小游戏-2</t>
  </si>
  <si>
    <t>11-8. [扩展] 通用表单插件-1</t>
  </si>
  <si>
    <t>11-9. [扩展] 通用表单插件-2</t>
  </si>
  <si>
    <t>11-10. [扩展] 通用表单插件-3</t>
  </si>
  <si>
    <t>12. 结语</t>
  </si>
  <si>
    <t>12-1. 结语</t>
  </si>
  <si>
    <t>01. 前端框架的由来</t>
  </si>
  <si>
    <t>02. 第一个vue应用</t>
  </si>
  <si>
    <t>03. 核心概念</t>
  </si>
  <si>
    <t>04. 组件</t>
  </si>
  <si>
    <t>04-05.（必看）保持一致的版本</t>
  </si>
  <si>
    <t>05. 搭建工程</t>
  </si>
  <si>
    <t>06. 计算属性</t>
  </si>
  <si>
    <t>07. 组件事件</t>
  </si>
  <si>
    <t>08. 优化工程结构</t>
  </si>
  <si>
    <t>09. 组件练习</t>
  </si>
  <si>
    <t>10. 插槽</t>
  </si>
  <si>
    <t>11. 路由</t>
  </si>
  <si>
    <t>12. 弹出消息</t>
  </si>
  <si>
    <t>13. 获取远程数据</t>
  </si>
  <si>
    <t>14. 组件生命周期</t>
  </si>
  <si>
    <t>15. 完成首页-part1</t>
  </si>
  <si>
    <t>16. 完成首页-part2</t>
  </si>
  <si>
    <t>17. 完成首页-part3</t>
  </si>
  <si>
    <t>18. 自定义指令</t>
  </si>
  <si>
    <t>19. 组件混入</t>
  </si>
  <si>
    <t>20. 组件递归</t>
  </si>
  <si>
    <t>21. 开发文章列表页-part1</t>
  </si>
  <si>
    <t>22. 开发文章列表页-part2</t>
  </si>
  <si>
    <t>23. 开发文章详情页-part1</t>
  </si>
  <si>
    <t>24. 开发文章详情页-part2</t>
  </si>
  <si>
    <t>25. $listeners和v-model</t>
  </si>
  <si>
    <t>26. 开发文章详情页-part3</t>
  </si>
  <si>
    <t>27. 事件总线</t>
  </si>
  <si>
    <t>28. 开发文章详情页-part4</t>
  </si>
  <si>
    <t>29. 开发文章详情页-part5</t>
  </si>
  <si>
    <t>30. 代码优化</t>
  </si>
  <si>
    <t>31. 图片懒加载</t>
  </si>
  <si>
    <t>32. 数据共享</t>
  </si>
  <si>
    <t>33. vuex经典案例</t>
  </si>
  <si>
    <t>34. 在项目中应用vuex</t>
  </si>
  <si>
    <t>35. 页面标题的统一处理</t>
  </si>
  <si>
    <t>36. 完成「关于我」页面</t>
  </si>
  <si>
    <t>37. 完成「项目&amp;效果」页面</t>
  </si>
  <si>
    <t>38. 完成「留言板」页面</t>
  </si>
  <si>
    <t>39. 打包优化</t>
  </si>
  <si>
    <t>40. 异步组件</t>
  </si>
  <si>
    <t>41. 补充-无数据的显示</t>
  </si>
  <si>
    <t>42. 补充-404页面</t>
  </si>
  <si>
    <t>43. 补充-解决项目无法搭建问题</t>
    <phoneticPr fontId="1" type="noConversion"/>
  </si>
  <si>
    <t>vue 从入门到实战 - 袁进</t>
  </si>
  <si>
    <t>01. 项目介绍与演示</t>
  </si>
  <si>
    <t>02. 项目准备 part1(介绍 Element UI)</t>
  </si>
  <si>
    <t>03. 项目准备 part2(介绍 vue-element-admin)</t>
  </si>
  <si>
    <t>04. 项目准备 part3(搭建项目架子)</t>
  </si>
  <si>
    <t>05. 项目准备 part4(服务器和接口)</t>
  </si>
  <si>
    <t>06. 登录界面制作</t>
  </si>
  <si>
    <t>07. 登录功能制作</t>
  </si>
  <si>
    <t>08. 鉴权功能制作</t>
  </si>
  <si>
    <t>09. 首页标语 part1(页面渲染)</t>
  </si>
  <si>
    <t>10. 首页标语 part2(完成编辑和图片上传)</t>
  </si>
  <si>
    <t>11. 文章模块 part1(文章列表渲染、分页、删除文章)</t>
  </si>
  <si>
    <t>12. 文章模块 part2(文章分类)</t>
  </si>
  <si>
    <t>13. 文章模块 part3(添加和编辑文章)</t>
  </si>
  <si>
    <t>14. 文章模块 part4(优化添加和编辑文章)</t>
  </si>
  <si>
    <t>15. 项目管理模块</t>
  </si>
  <si>
    <t>16. 评论管理和留言板模块</t>
  </si>
  <si>
    <t>17. 关于我、设置和个人信息模块</t>
  </si>
  <si>
    <t>18. 项目部署到阿里云</t>
  </si>
  <si>
    <t>19. 项目总结</t>
  </si>
  <si>
    <t>20.项目部署补充</t>
  </si>
  <si>
    <t>vue 组件库从入门到实战 - 谢杰</t>
  </si>
  <si>
    <t>05-1.项目准备 part4(服务器和接口)</t>
    <phoneticPr fontId="1" type="noConversion"/>
  </si>
  <si>
    <t xml:space="preserve">05-2.mac下的mongodb安装和数据恢复 </t>
    <phoneticPr fontId="1" type="noConversion"/>
  </si>
  <si>
    <t xml:space="preserve">05-3.windows下的mongodb安装和恢复数据 </t>
    <phoneticPr fontId="1" type="noConversion"/>
  </si>
  <si>
    <t>18-1.项目部署介绍</t>
    <phoneticPr fontId="1" type="noConversion"/>
  </si>
  <si>
    <t>18-2.购买阿里云服务器</t>
    <phoneticPr fontId="1" type="noConversion"/>
  </si>
  <si>
    <t>18-3.安装Node.js</t>
    <phoneticPr fontId="1" type="noConversion"/>
  </si>
  <si>
    <t>18-4.安装MongoDB</t>
    <phoneticPr fontId="1" type="noConversion"/>
  </si>
  <si>
    <t>18-5.上传服务器代码和恢复数据库数据</t>
    <phoneticPr fontId="1" type="noConversion"/>
  </si>
  <si>
    <t>18-6.安装Nginx</t>
    <phoneticPr fontId="1" type="noConversion"/>
  </si>
  <si>
    <t>18-7.上传静态资源</t>
    <phoneticPr fontId="1" type="noConversion"/>
  </si>
  <si>
    <t>18-8.进程守护</t>
    <phoneticPr fontId="1" type="noConversion"/>
  </si>
  <si>
    <t>18-9.域名映射</t>
    <phoneticPr fontId="1" type="noConversion"/>
  </si>
  <si>
    <t>18-10.数据库远程连接加密</t>
    <phoneticPr fontId="1" type="noConversion"/>
  </si>
  <si>
    <t>20-1.数据库恢复数据</t>
    <phoneticPr fontId="1" type="noConversion"/>
  </si>
  <si>
    <t>20-2.安装Node和Mongo</t>
    <phoneticPr fontId="1" type="noConversion"/>
  </si>
  <si>
    <t>01.Vue基础知识1 (6小节)</t>
  </si>
  <si>
    <t>02.Vue基础知识2 (5小节)</t>
  </si>
  <si>
    <t>03.Vue常用组件使用 (5小节)</t>
  </si>
  <si>
    <t>1.从vue到前端</t>
  </si>
  <si>
    <t>2.vue初体验</t>
  </si>
  <si>
    <t>3.vue必会概念</t>
  </si>
  <si>
    <t>4.学习须知</t>
  </si>
  <si>
    <t>5.模板语法和计算属性</t>
  </si>
  <si>
    <t>6.组件必会概念</t>
  </si>
  <si>
    <t>1. 使用脚手架搭建工程</t>
  </si>
  <si>
    <t>2. 开发通用组件</t>
  </si>
  <si>
    <t>3. 自定义事件</t>
  </si>
  <si>
    <t>4. 开发频道菜单</t>
  </si>
  <si>
    <t>5.获取频道数据</t>
  </si>
  <si>
    <t>1.完成频道列表组件</t>
  </si>
  <si>
    <t>2.继续完善频道列表</t>
  </si>
  <si>
    <t>3.搜索框组件</t>
  </si>
  <si>
    <t>4.侧边栏和页面组件</t>
  </si>
  <si>
    <t>5.尾声：学无止境</t>
  </si>
  <si>
    <t>Ch</t>
    <phoneticPr fontId="1" type="noConversion"/>
  </si>
  <si>
    <t>07. 关于 Apifox 的使用</t>
  </si>
  <si>
    <t>01-echarts介绍</t>
  </si>
  <si>
    <t>02-第一个Ecarts例子</t>
  </si>
  <si>
    <t>03-title组件</t>
  </si>
  <si>
    <t>04-legend组件1</t>
  </si>
  <si>
    <t>05-legend组件2</t>
  </si>
  <si>
    <t>06-网格</t>
  </si>
  <si>
    <t>07-坐标轴1</t>
  </si>
  <si>
    <t>08-坐标轴2</t>
  </si>
  <si>
    <t>09-极坐标系</t>
  </si>
  <si>
    <t>10-雷达坐标系</t>
  </si>
  <si>
    <t>11-区域缩放1</t>
  </si>
  <si>
    <t>12-区域缩放2</t>
  </si>
  <si>
    <t>13-视觉映射组件-1</t>
  </si>
  <si>
    <t>14-视觉映射组件-2</t>
  </si>
  <si>
    <t>15-视觉映射组件-3</t>
  </si>
  <si>
    <t>16-提示框组件</t>
  </si>
  <si>
    <t>17-坐标轴指示器组件</t>
  </si>
  <si>
    <t>18-工具栏</t>
  </si>
  <si>
    <t>19-区域选择1</t>
  </si>
  <si>
    <t>20-区域选择2</t>
  </si>
  <si>
    <t>21-地理坐标系1</t>
  </si>
  <si>
    <t>22-地理坐标系2</t>
  </si>
  <si>
    <t>23-平行坐标系</t>
  </si>
  <si>
    <t>24-单轴</t>
  </si>
  <si>
    <t>25-时间轴</t>
  </si>
  <si>
    <t>26-图形元素1</t>
  </si>
  <si>
    <t>27-图形元素2</t>
  </si>
  <si>
    <t>28-日历坐标系</t>
  </si>
  <si>
    <t>29-数据集1-存储</t>
  </si>
  <si>
    <t>30-数据集2-映射</t>
  </si>
  <si>
    <t>31-折线图</t>
  </si>
  <si>
    <t>32-柱状图</t>
  </si>
  <si>
    <t>33-饼图</t>
  </si>
  <si>
    <t>34-气泡图</t>
  </si>
  <si>
    <t>35-涟漪气泡图</t>
  </si>
  <si>
    <t>36-雷达图</t>
  </si>
  <si>
    <t>37-树图</t>
  </si>
  <si>
    <t>38-矩形树图1</t>
  </si>
  <si>
    <t>39-矩形树图2</t>
  </si>
  <si>
    <t>40-旭日图</t>
  </si>
  <si>
    <t>41-盒须图</t>
  </si>
  <si>
    <t>42-K线图</t>
  </si>
  <si>
    <t>43-热力图</t>
  </si>
  <si>
    <t>44-平行坐标图</t>
  </si>
  <si>
    <t>45-线图</t>
  </si>
  <si>
    <t>46-关系图</t>
  </si>
  <si>
    <t>47-桑基图</t>
  </si>
  <si>
    <t>48-漏斗图</t>
  </si>
  <si>
    <t>49-仪表盘</t>
  </si>
  <si>
    <t>50-象形柱图</t>
  </si>
  <si>
    <t>51-河流图</t>
  </si>
  <si>
    <t>52-课程总结</t>
  </si>
  <si>
    <t>1.Webpack核心功能</t>
  </si>
  <si>
    <t>1-1. 如何在浏览器端实现模块化</t>
  </si>
  <si>
    <t>1-2. webpack的安装和使用</t>
  </si>
  <si>
    <t>1-3. 模块化兼容性</t>
  </si>
  <si>
    <t>1-4. [练习]酷炫的数字查找特效</t>
  </si>
  <si>
    <t>1-5. 编译结果分析</t>
  </si>
  <si>
    <t>1-6. 配置文件</t>
  </si>
  <si>
    <t>1-7. devtool配置</t>
  </si>
  <si>
    <t>1-8. 编译过程</t>
  </si>
  <si>
    <t>1-9. 入口和出口</t>
  </si>
  <si>
    <t>1-10. 入口和出口的最佳实践</t>
  </si>
  <si>
    <t>1-11. loader</t>
  </si>
  <si>
    <t>1-12. [练习]处理样式</t>
  </si>
  <si>
    <t>1-13. [练习]处理图片</t>
  </si>
  <si>
    <t>1-14. plugin</t>
  </si>
  <si>
    <t>1-15. [练习]添加文件列表</t>
  </si>
  <si>
    <t>1-16. 区分环境</t>
  </si>
  <si>
    <t>1-17. 其他细节配置</t>
  </si>
  <si>
    <t>2.常用扩展</t>
  </si>
  <si>
    <t>2-1. 清除输出目录</t>
  </si>
  <si>
    <t>2-2. 自动生成页面</t>
  </si>
  <si>
    <t>2-3. 复制静态资源</t>
  </si>
  <si>
    <t>2-4. 开发服务器</t>
  </si>
  <si>
    <t>2-5. 普通文件处理</t>
  </si>
  <si>
    <t>2-6. 解决路径问题</t>
  </si>
  <si>
    <t>2-7. webpack内置插件</t>
  </si>
  <si>
    <t>2-8. [练习]区域查询</t>
  </si>
  <si>
    <t>3. CSS工程化</t>
  </si>
  <si>
    <t>3-1. css工程化概述</t>
  </si>
  <si>
    <t>3-2. 利用webpack拆分css</t>
  </si>
  <si>
    <t>3-3. BEM</t>
  </si>
  <si>
    <t>3-4. css-in-js</t>
  </si>
  <si>
    <t>3-5. css module</t>
  </si>
  <si>
    <t>3-6. 预编译器less</t>
  </si>
  <si>
    <t>3-7. 在webpack中使用less</t>
  </si>
  <si>
    <t>3-8. PostCss</t>
  </si>
  <si>
    <t>3-9.在webpack中使用postcss</t>
  </si>
  <si>
    <t>3-10.抽离css文件</t>
  </si>
  <si>
    <t>4. js兼容性</t>
  </si>
  <si>
    <t>4-1. babel的安装和使用</t>
  </si>
  <si>
    <t>4-2. babel预设</t>
  </si>
  <si>
    <t>4-3. babel插件</t>
  </si>
  <si>
    <t>4-4. 在webpack中使用babel</t>
  </si>
  <si>
    <t>4-5. [扩展]对类的转换</t>
  </si>
  <si>
    <t>4-6. [扩展]async和await的转换</t>
  </si>
  <si>
    <t>5. 性能优化</t>
  </si>
  <si>
    <t>5-1. 性能优化概述</t>
  </si>
  <si>
    <t>5-2. 减少模块解析</t>
  </si>
  <si>
    <t>5-3. 优化loader性能</t>
  </si>
  <si>
    <t>5-4. 热替换</t>
  </si>
  <si>
    <t>5-5. 手动分包</t>
  </si>
  <si>
    <t>5-6. 自动分包</t>
  </si>
  <si>
    <t>5-7. 代码压缩</t>
  </si>
  <si>
    <t>5-8. tree shaking</t>
  </si>
  <si>
    <t>5-9. 懒加载</t>
  </si>
  <si>
    <t>5-10. ESLint</t>
  </si>
  <si>
    <t>5-11. bundle analyzer</t>
  </si>
  <si>
    <t>5-12. gzip</t>
  </si>
  <si>
    <t>6. 补充和案例</t>
  </si>
  <si>
    <t>6-1. [扩展]不确定的动态依赖</t>
  </si>
  <si>
    <t>6-2. 搭建多页应用</t>
  </si>
  <si>
    <t>6-3. [扩展]搭建vue单页应用</t>
  </si>
  <si>
    <t>6-4. [扩展]搭建React单页应用</t>
  </si>
  <si>
    <t>6-5. [扩展]搭建Node应用</t>
  </si>
  <si>
    <t>6-6. 搭建全栈应用</t>
  </si>
  <si>
    <t>1-5-1. 学习可以很轻松</t>
    <phoneticPr fontId="1" type="noConversion"/>
  </si>
  <si>
    <t>webpack-课程前导</t>
    <phoneticPr fontId="1" type="noConversion"/>
  </si>
  <si>
    <t>01.课程导读</t>
  </si>
  <si>
    <t>02.认识BPMN</t>
  </si>
  <si>
    <t>03.工作流引擎的简单介绍</t>
  </si>
  <si>
    <t>04.bpmn.js基础使用</t>
  </si>
  <si>
    <t>05.bpmn.js常见功能处理</t>
  </si>
  <si>
    <t>06.了解bpmn.js的底层实现</t>
  </si>
  <si>
    <t>07.简单引入自定义Palette处理</t>
  </si>
  <si>
    <t>08.自定义Palette模块实现</t>
  </si>
  <si>
    <t>09.自定义Modeler替换</t>
  </si>
  <si>
    <t>10.自定义renderer</t>
  </si>
  <si>
    <t>11.自定义ContextPad</t>
  </si>
  <si>
    <t>12.使用仓库保存节点数据</t>
  </si>
  <si>
    <t>13.自定义封装处理-1</t>
  </si>
  <si>
    <t>14.自定义封装处理-2</t>
  </si>
  <si>
    <t>15.bpmn properties</t>
  </si>
  <si>
    <t>16.moddleExtension描述文件</t>
  </si>
  <si>
    <t>17.自定义PropertiesPanelExtension扩展</t>
  </si>
  <si>
    <t>18.完全自定义PropertiesPanel</t>
  </si>
  <si>
    <t>19.flowable工作流引擎处理</t>
  </si>
  <si>
    <t>20.通过flowable相关API实现工作流处理</t>
  </si>
  <si>
    <t>BPMN可视化与工作流实践 - 闫虹志</t>
  </si>
  <si>
    <t>入门</t>
  </si>
  <si>
    <t>01. 搭建工程</t>
  </si>
  <si>
    <t>02. vue3的重大变化</t>
  </si>
  <si>
    <t>03. 新增任务</t>
  </si>
  <si>
    <t>04. 任务筛选</t>
  </si>
  <si>
    <t>05. 修改任务</t>
  </si>
  <si>
    <t>06. 完结撒花</t>
  </si>
  <si>
    <t>就业</t>
  </si>
  <si>
    <t>01. vite原理</t>
  </si>
  <si>
    <t>02. 效率的提升</t>
  </si>
  <si>
    <t>03. API和数据响应式的变化</t>
  </si>
  <si>
    <t>04. 模板中的变化</t>
  </si>
  <si>
    <t>05. 组件的变化</t>
  </si>
  <si>
    <t>06. ReactivityApi</t>
  </si>
  <si>
    <t>07. CompositionApi</t>
  </si>
  <si>
    <t>08. 共享数据</t>
  </si>
  <si>
    <t>09. script setup</t>
  </si>
  <si>
    <t>10. Pinia基本概念</t>
  </si>
  <si>
    <t>11. Pinia快速入门part1</t>
  </si>
  <si>
    <t>12. Pinia快速入门part2</t>
  </si>
  <si>
    <t>13. 添加插件</t>
  </si>
  <si>
    <t>14. 最佳实践与补充内容</t>
  </si>
  <si>
    <t>15. Pinia部分源码解析</t>
  </si>
  <si>
    <t>第一章 导言</t>
  </si>
  <si>
    <t>1. 学前须知</t>
  </si>
  <si>
    <t>2. 课程说明</t>
  </si>
  <si>
    <t>第二章 快速入门</t>
  </si>
  <si>
    <t>1. Vue基本介绍</t>
  </si>
  <si>
    <t>2. 搭建工程</t>
  </si>
  <si>
    <t>3. 模板语法</t>
  </si>
  <si>
    <t>4. 响应式基础part1</t>
  </si>
  <si>
    <t>5. 响应式基础part2</t>
  </si>
  <si>
    <t>6. [补充]响应式常用API</t>
  </si>
  <si>
    <t>7. 计算属性</t>
  </si>
  <si>
    <t>8. 类与样式绑定</t>
  </si>
  <si>
    <t>9. 条件与列表渲染</t>
  </si>
  <si>
    <t>10. 事件处理</t>
  </si>
  <si>
    <t>11. 表单处理</t>
  </si>
  <si>
    <t>12. [练习]购物车实战演练</t>
  </si>
  <si>
    <t>13. 生命周期</t>
  </si>
  <si>
    <t>14. 侦听器part1</t>
  </si>
  <si>
    <t>15. 侦听器part2</t>
  </si>
  <si>
    <t>16. [练习]待办事项实战演练part1</t>
  </si>
  <si>
    <t>17. [练习]待办事项实战演练part2</t>
  </si>
  <si>
    <t>18. 组件介绍</t>
  </si>
  <si>
    <t>19. Props</t>
  </si>
  <si>
    <t>20. 自定义事件</t>
  </si>
  <si>
    <t>21. 组件v-model</t>
  </si>
  <si>
    <t>22. 插槽</t>
  </si>
  <si>
    <t>23. [练习]重构待办事项</t>
  </si>
  <si>
    <t>24. 前端路由介绍</t>
  </si>
  <si>
    <t>25. [练习]用户管理系统part1</t>
  </si>
  <si>
    <t>26. [练习]用户管理系统part2</t>
  </si>
  <si>
    <t>27. KeepAlive内置组件</t>
  </si>
  <si>
    <t>28. 状态管理库介绍</t>
  </si>
  <si>
    <t>29. [练习]任务管理器</t>
  </si>
  <si>
    <t>30. 使用组件库</t>
  </si>
  <si>
    <t>第三章 深入本质</t>
  </si>
  <si>
    <t>1. 本章导读-必看</t>
  </si>
  <si>
    <t>2. 虚拟DOM的本质</t>
  </si>
  <si>
    <t>3. 模板的本质</t>
  </si>
  <si>
    <t>4. 组件树和虚拟DOM树</t>
  </si>
  <si>
    <t>5. 数据拦截本质</t>
  </si>
  <si>
    <t>6. 响应式数据的本质</t>
  </si>
  <si>
    <t>7. 响应式的本质</t>
  </si>
  <si>
    <t>8. 响应式和组件渲染</t>
  </si>
  <si>
    <t>9. 实现响应式系统part1</t>
  </si>
  <si>
    <t>10. 实现响应式系统part2</t>
  </si>
  <si>
    <t>11. 中场插播: 图解Effect</t>
  </si>
  <si>
    <t>12. 实现响应式系统part3</t>
  </si>
  <si>
    <t>13. 手写computed</t>
  </si>
  <si>
    <t>14. 手写watch</t>
  </si>
  <si>
    <t>15. 指令的本质</t>
  </si>
  <si>
    <t>16. 插槽的本质</t>
  </si>
  <si>
    <t>17. v-model的本质</t>
  </si>
  <si>
    <t>18. setup语法标签</t>
  </si>
  <si>
    <t>19. 组件生命周期</t>
  </si>
  <si>
    <t>20. [补充]KeepAlive生命周期</t>
  </si>
  <si>
    <t>21. KeepAlive的本质</t>
  </si>
  <si>
    <t>22. key的本质</t>
  </si>
  <si>
    <t>第四章 细节补充</t>
  </si>
  <si>
    <t>2. [vue]属性透传</t>
  </si>
  <si>
    <t>3. [vue]依赖注入</t>
  </si>
  <si>
    <t>4. [vue]组合式函数</t>
  </si>
  <si>
    <t>5. [vue]自定义指令</t>
  </si>
  <si>
    <t>6. [vue]插件</t>
  </si>
  <si>
    <t>7. [vue]Transition</t>
  </si>
  <si>
    <t>8. [vue]TransitionGroup</t>
  </si>
  <si>
    <t>9. [vue]Teleort</t>
  </si>
  <si>
    <t>10. [vue]异步组件</t>
  </si>
  <si>
    <t>11. [vue]Suspense</t>
  </si>
  <si>
    <t>12. [router]路由模式</t>
  </si>
  <si>
    <t>13. [router]路由零碎知识</t>
  </si>
  <si>
    <t>14. [router]路由匹配语法</t>
  </si>
  <si>
    <t>15. [router]路由组件传参</t>
  </si>
  <si>
    <t>16. [router]内置组件和函数</t>
  </si>
  <si>
    <t>17. [router]导航守卫</t>
  </si>
  <si>
    <t>18. [router]过渡特效</t>
  </si>
  <si>
    <t>19. [router]滚动行为</t>
  </si>
  <si>
    <t>20. [router]动态路由</t>
  </si>
  <si>
    <t>21. [state]通信方式总结</t>
  </si>
  <si>
    <t>22. [state]Pinia自定义插件</t>
  </si>
  <si>
    <t>23. [场景补充]封装树形组件</t>
  </si>
  <si>
    <t>24. [场景补充]自定义ref实现防抖</t>
  </si>
  <si>
    <t>25. [场景补充]懒加载</t>
  </si>
  <si>
    <t>26. [场景补充]虚拟列表</t>
  </si>
  <si>
    <t>27. [场景补充]虚拟列表优化part1</t>
  </si>
  <si>
    <t>28. [场景补充]虚拟列表优化part2</t>
  </si>
  <si>
    <t>29. [第三方库]VueUse</t>
  </si>
  <si>
    <t>30. [第三方库]vuedraggable</t>
  </si>
  <si>
    <t>31. [第三方库]vue-drag-resize</t>
  </si>
  <si>
    <t>32. [第三方库]vue-chartjs</t>
  </si>
  <si>
    <t>33. [第三方库]vuelidate</t>
  </si>
  <si>
    <t>34. [第三方库]vue3-lazyload</t>
  </si>
  <si>
    <t>35. [场景补充]websocket聊天室</t>
  </si>
  <si>
    <t>36. [vite]认识Vite</t>
  </si>
  <si>
    <t>37. [vite]Vite配置文件</t>
  </si>
  <si>
    <t>38. [vite]依赖预构建</t>
  </si>
  <si>
    <t>39. [vite]构建生产版本</t>
  </si>
  <si>
    <t>40. [vite]环境变量与模式</t>
  </si>
  <si>
    <t>41. [vite]CLI</t>
  </si>
  <si>
    <t>42. [vite]Vite插件</t>
  </si>
  <si>
    <t>43. Vue课程收官</t>
  </si>
  <si>
    <t>Vue3（新）- 谢杰</t>
    <phoneticPr fontId="1" type="noConversion"/>
  </si>
  <si>
    <t>Vue3-袁进</t>
    <phoneticPr fontId="1" type="noConversion"/>
  </si>
  <si>
    <t>低码平台实战项目 - 谢杰</t>
    <phoneticPr fontId="1" type="noConversion"/>
  </si>
  <si>
    <t>1. 课程导读—必看</t>
  </si>
  <si>
    <t>2. 项目架构</t>
  </si>
  <si>
    <t>3. 搭建项目</t>
  </si>
  <si>
    <t>4. 搭建组件市场</t>
  </si>
  <si>
    <t>5. 封装单选题组件part1</t>
  </si>
  <si>
    <t>6. 封装单选题组件part2</t>
  </si>
  <si>
    <t>7. 完成标题编辑功能</t>
  </si>
  <si>
    <t>8. 完成剩余编辑功能</t>
  </si>
  <si>
    <t>9. 完成图片题目组件part1</t>
  </si>
  <si>
    <t>10. 完成图片题目组件part2</t>
  </si>
  <si>
    <t>11. 完成备注说明组件</t>
  </si>
  <si>
    <t>12. 预设组件</t>
  </si>
  <si>
    <t>13. 搭建编辑器</t>
  </si>
  <si>
    <t>14. 往画布添加组件</t>
  </si>
  <si>
    <t>15. 编辑画布组件</t>
  </si>
  <si>
    <t>16. vuedraggable使用示例</t>
  </si>
  <si>
    <t>17. 拖动画布组件</t>
  </si>
  <si>
    <t>18. 存储问卷</t>
  </si>
  <si>
    <t>19. 问卷预览part1</t>
  </si>
  <si>
    <t>20. 问卷预览part2</t>
  </si>
  <si>
    <t>21. 生成PDF与在线答题</t>
  </si>
  <si>
    <t>22. 项目优化方向与课程收官</t>
  </si>
  <si>
    <t>Webpack详细版 - 袁进</t>
  </si>
  <si>
    <t>微信小程序 - 谢杰</t>
  </si>
  <si>
    <t>Echarts详细版 - 陈学辉</t>
  </si>
  <si>
    <t>Duration</t>
    <phoneticPr fontId="1" type="noConversion"/>
  </si>
  <si>
    <t>1. Node核心</t>
  </si>
  <si>
    <t>1-1. Node概述</t>
  </si>
  <si>
    <t>1-2. 全局对象</t>
  </si>
  <si>
    <t>1-3. Node的模块化细节</t>
  </si>
  <si>
    <t>1-4. 【扩展】Node中的ES模块</t>
  </si>
  <si>
    <t>1-5. 基本内置模块</t>
  </si>
  <si>
    <t>1-6. 文件IO</t>
  </si>
  <si>
    <t>1-7-1.文件流-可读流 </t>
  </si>
  <si>
    <t>1-7-2. 文件流-可写流</t>
  </si>
  <si>
    <t>1-8. net模块</t>
  </si>
  <si>
    <t>1-9. http模块</t>
  </si>
  <si>
    <t>1-10. https协议</t>
  </si>
  <si>
    <t>1-11. https模块</t>
  </si>
  <si>
    <t>1-12. node生命周期</t>
  </si>
  <si>
    <t>1-13. [扩展] EventEmitter</t>
  </si>
  <si>
    <t>2. Mysql</t>
  </si>
  <si>
    <t>2-1. 数据库简介</t>
  </si>
  <si>
    <t>2-2. MySql的安装</t>
  </si>
  <si>
    <t>2-3. 数据库设计</t>
  </si>
  <si>
    <t>2-4. 表记录的增删改</t>
  </si>
  <si>
    <t>2-5. 单表基本查询</t>
  </si>
  <si>
    <t>2-6. 联表查询</t>
  </si>
  <si>
    <t>2-7. 函数和分组</t>
  </si>
  <si>
    <t>2-8. 视图</t>
  </si>
  <si>
    <t>3. 数据驱动和ORM</t>
  </si>
  <si>
    <t>3-1. mysql驱动程序</t>
  </si>
  <si>
    <t>3-2. Sequelize简介</t>
  </si>
  <si>
    <t>3-3. 模型定义和同步</t>
  </si>
  <si>
    <t>3-4. 模型的增删改</t>
  </si>
  <si>
    <t>3-5. 模拟数据</t>
  </si>
  <si>
    <t>3-6. 数据抓取</t>
  </si>
  <si>
    <t>3-7. 数据查询</t>
  </si>
  <si>
    <t>3-8. MD5加密</t>
  </si>
  <si>
    <t>3-9. moment</t>
  </si>
  <si>
    <t>3-10. 数据验证</t>
  </si>
  <si>
    <t>3-11. 访问器和虚拟字段</t>
  </si>
  <si>
    <t>3-12. 日志记录</t>
  </si>
  <si>
    <t>4. express</t>
  </si>
  <si>
    <t>4-1. express的基本使用</t>
  </si>
  <si>
    <t>4-2. nodemon</t>
  </si>
  <si>
    <t>4-3. express中间件</t>
  </si>
  <si>
    <t>4-4. 常用中间件</t>
  </si>
  <si>
    <t>4-5. express路由</t>
  </si>
  <si>
    <t>4-6. cookie的基本概念</t>
  </si>
  <si>
    <t>4-7.实现登陆和认证</t>
  </si>
  <si>
    <t>4-8. 断点调试</t>
  </si>
  <si>
    <t>4-9. 跨域之JSONP</t>
  </si>
  <si>
    <t>4-10. 跨域之CORS</t>
  </si>
  <si>
    <t>4-11. CORS中间件</t>
  </si>
  <si>
    <t>4-12. session</t>
  </si>
  <si>
    <t>4-13. jwt</t>
  </si>
  <si>
    <t>4-14. 登录和认证-服务器开发</t>
  </si>
  <si>
    <t>4-15. 登录和认证-客户端开发</t>
  </si>
  <si>
    <t>4-16. 场景 - 日志记录</t>
  </si>
  <si>
    <t>4-17. 场景 - 文件上传</t>
  </si>
  <si>
    <t>4-18. 场景 - 文件下载</t>
  </si>
  <si>
    <t>4-19. 场景 - 图片水印</t>
  </si>
  <si>
    <t>4-20. 场景 - 图片防盗链</t>
  </si>
  <si>
    <t>4-21. 重要场景 - 代理</t>
  </si>
  <si>
    <t>4-22. 扩展场景 - 模版引擎</t>
  </si>
  <si>
    <t>4-23. 场景 - 生成二维码</t>
  </si>
  <si>
    <t>4-24. 场景 - 生成验证码</t>
  </si>
  <si>
    <t>4-25. 场景 - 客户端缓存</t>
  </si>
  <si>
    <t>4-26. 场景 - 富文本框</t>
  </si>
  <si>
    <t>5. 补充</t>
  </si>
  <si>
    <t>5-1. websocket原理</t>
  </si>
  <si>
    <t>5-2. socket.io</t>
  </si>
  <si>
    <t>5-3. [扩展]在线聊天室</t>
  </si>
  <si>
    <t>5-4. CSRF攻击和防御</t>
  </si>
  <si>
    <t>5-5. XSS攻击和防御</t>
  </si>
  <si>
    <t>5-6. NodeJS组成原理</t>
  </si>
  <si>
    <t>5-7. 进程和线程</t>
  </si>
  <si>
    <t>node - 袁进</t>
    <phoneticPr fontId="1" type="noConversion"/>
  </si>
  <si>
    <t>01.导言</t>
  </si>
  <si>
    <t>02.快速入门</t>
  </si>
  <si>
    <t>01.playground演练场</t>
  </si>
  <si>
    <t>02.安装与运行</t>
  </si>
  <si>
    <t>03.开发相关设置</t>
  </si>
  <si>
    <t>04.TS常见类型-1</t>
  </si>
  <si>
    <t>05.TS常见类型-2</t>
  </si>
  <si>
    <t>06.TS常见类型-3</t>
  </si>
  <si>
    <t>07.TS常见类型-4</t>
  </si>
  <si>
    <t>08.类型声明</t>
  </si>
  <si>
    <t>09.TS+React案例-1</t>
  </si>
  <si>
    <t>10.TS+React案例-2</t>
  </si>
  <si>
    <t>11.TS+React案例-3</t>
  </si>
  <si>
    <t>12.TS+Vue案例-1</t>
  </si>
  <si>
    <t>13.TS+Vue案例-2</t>
  </si>
  <si>
    <t>03.类型理解</t>
  </si>
  <si>
    <t>01.一切从类型的理解再开始</t>
  </si>
  <si>
    <t>02.any与unknown</t>
  </si>
  <si>
    <t>03.boolean与类型字面量</t>
  </si>
  <si>
    <t>04.number,bigint与string</t>
  </si>
  <si>
    <t>05.symbol</t>
  </si>
  <si>
    <t>06.类型拓宽</t>
  </si>
  <si>
    <t>07.null与undefined</t>
  </si>
  <si>
    <t>08.void</t>
  </si>
  <si>
    <t>09.对象字面量</t>
  </si>
  <si>
    <t>10.类型别名与接口</t>
  </si>
  <si>
    <t>11.结构化类型</t>
  </si>
  <si>
    <t>12.装箱与拆箱类型</t>
  </si>
  <si>
    <t>13.联合类型</t>
  </si>
  <si>
    <t>14.交叉类型</t>
  </si>
  <si>
    <t>15.typeof与控制流分析</t>
  </si>
  <si>
    <t>16.instanceof与in</t>
  </si>
  <si>
    <t>17.字面量类型检查</t>
  </si>
  <si>
    <t>18.自定义守卫</t>
  </si>
  <si>
    <t>19.never</t>
  </si>
  <si>
    <t>20.数组与元组</t>
  </si>
  <si>
    <t>21.方括号运算符</t>
  </si>
  <si>
    <t>22.类型断言</t>
  </si>
  <si>
    <t>23.satisfies</t>
  </si>
  <si>
    <t>24.枚举</t>
  </si>
  <si>
    <t>04.函数与泛型</t>
  </si>
  <si>
    <t>01.函数的声明与调用</t>
  </si>
  <si>
    <t>02.调用签名</t>
  </si>
  <si>
    <t>03.重载</t>
  </si>
  <si>
    <t>04.理解泛型</t>
  </si>
  <si>
    <t>05.类型别名与接口使用泛型</t>
  </si>
  <si>
    <t>06.多泛型</t>
  </si>
  <si>
    <t>07.泛型的默认类型</t>
  </si>
  <si>
    <t>08.受限的泛型</t>
  </si>
  <si>
    <t>09.类型理解再升级-型变</t>
  </si>
  <si>
    <t>10.多余属性检查</t>
  </si>
  <si>
    <t>11.逆变</t>
  </si>
  <si>
    <t>05.类型编程</t>
  </si>
  <si>
    <t>01.索引签名类型</t>
  </si>
  <si>
    <t>02.keyof</t>
  </si>
  <si>
    <t>03.in运算符遍历</t>
  </si>
  <si>
    <t>04.类型编程的理解</t>
  </si>
  <si>
    <t>05.关联泛型</t>
  </si>
  <si>
    <t>06.方括号运算符常见操作</t>
  </si>
  <si>
    <t>07.条件类型与类型兼容性</t>
  </si>
  <si>
    <t>08.条件类型与泛型</t>
  </si>
  <si>
    <t>09.分布式条件特性</t>
  </si>
  <si>
    <t>10.映射类型的属性过滤</t>
  </si>
  <si>
    <t>11.infer</t>
  </si>
  <si>
    <t>12.模板字符串类型</t>
  </si>
  <si>
    <t>13.递归复用</t>
  </si>
  <si>
    <t>14.分发逆变推断</t>
  </si>
  <si>
    <t>06.类和接口</t>
  </si>
  <si>
    <t>01.面向对象的理解</t>
  </si>
  <si>
    <t>02.访问修饰符</t>
  </si>
  <si>
    <t>03.存取器属性</t>
  </si>
  <si>
    <t>04.静态成员</t>
  </si>
  <si>
    <t>05.继承</t>
  </si>
  <si>
    <t>06.this返回类型</t>
  </si>
  <si>
    <t>07.类的泛型支持</t>
  </si>
  <si>
    <t>08.有关this的类型体操</t>
  </si>
  <si>
    <t>09.抽象类</t>
  </si>
  <si>
    <t>10.接口</t>
  </si>
  <si>
    <t>11.面向对象中接口的使用理解</t>
  </si>
  <si>
    <t>12.接口与类型别名的区别</t>
  </si>
  <si>
    <t>13.类的类型理解升级</t>
  </si>
  <si>
    <t>14.混入</t>
  </si>
  <si>
    <t>15.构造函数类型相关类型工具</t>
  </si>
  <si>
    <t>07.装饰器</t>
  </si>
  <si>
    <t>01.理解装饰器</t>
  </si>
  <si>
    <t>02.类装饰器</t>
  </si>
  <si>
    <t>03.属性装饰器</t>
  </si>
  <si>
    <t>04.方法装饰器</t>
  </si>
  <si>
    <t>05.访问器属性与参数装饰器</t>
  </si>
  <si>
    <t>06.reflect-metadata</t>
  </si>
  <si>
    <t>07.元数据相关功能库</t>
  </si>
  <si>
    <t>08.工程化</t>
  </si>
  <si>
    <t>01.模块化-ESM的问题</t>
  </si>
  <si>
    <t>02.模块化-模块解析策略</t>
  </si>
  <si>
    <t>03.模块化-TS模块解析策略</t>
  </si>
  <si>
    <t>04.模块化-模块解析最佳实践</t>
  </si>
  <si>
    <t>05.模块化-路径别名</t>
  </si>
  <si>
    <t>06.类型声明与模块化</t>
  </si>
  <si>
    <t>07.类型声明相关处理</t>
  </si>
  <si>
    <t>08.三斜线指令</t>
  </si>
  <si>
    <t>09.TS版本不匹配的工程问题</t>
  </si>
  <si>
    <t>10.webpack中TS的处理</t>
  </si>
  <si>
    <t>01.导言</t>
    <phoneticPr fontId="1" type="noConversion"/>
  </si>
  <si>
    <t>1.概述</t>
  </si>
  <si>
    <t>1. 自我介绍和课程结构介绍</t>
  </si>
  <si>
    <t>2. JS语言的问题</t>
  </si>
  <si>
    <t>3. TS语言的特点</t>
  </si>
  <si>
    <t>2.在node 中搭建TS开发环境</t>
  </si>
  <si>
    <t>1. 安装TypeScript</t>
  </si>
  <si>
    <t>2. TypeScript配置文件</t>
  </si>
  <si>
    <t>3. 使用第三方库简化流程</t>
  </si>
  <si>
    <t>3.基本类型检查</t>
  </si>
  <si>
    <t>1. 类型约束和编译结果对比</t>
  </si>
  <si>
    <t>2. 基本类型</t>
  </si>
  <si>
    <t>3. 其他类型</t>
  </si>
  <si>
    <t>4. 类型别名</t>
  </si>
  <si>
    <t>5. 函数的相关约束</t>
  </si>
  <si>
    <t>6. 练习：创建并打印扑克牌</t>
  </si>
  <si>
    <t>4.扩展类型-枚举</t>
  </si>
  <si>
    <t>1. 字面量类型的问题</t>
  </si>
  <si>
    <t>2. 枚举的使用</t>
  </si>
  <si>
    <t>3. 练习：使用枚举优化扑克牌程序</t>
  </si>
  <si>
    <t>4. 扩展知识：枚举的位运算</t>
  </si>
  <si>
    <t>5.模块化</t>
  </si>
  <si>
    <t>1. 在TS中使用模块化</t>
  </si>
  <si>
    <t>2. 编译结果中的模块化</t>
  </si>
  <si>
    <t>3. 解决默认导入的错误</t>
  </si>
  <si>
    <t>4. 如何在TS中书写commonjs模块化代码</t>
  </si>
  <si>
    <t>5. 模块解析</t>
  </si>
  <si>
    <t>6. 练习：使用模块化优化扑克牌程序</t>
  </si>
  <si>
    <t>6.接口和类型兼容性</t>
  </si>
  <si>
    <t>1. 接口的概念</t>
  </si>
  <si>
    <t>2. 接口的使用</t>
  </si>
  <si>
    <t>3. readonly修饰符</t>
  </si>
  <si>
    <t>4. 类型兼容性</t>
  </si>
  <si>
    <t>5. 练习：用接口改造扑克牌程序</t>
  </si>
  <si>
    <t>7.TS中的类</t>
  </si>
  <si>
    <t>2. 新增的类语法</t>
  </si>
  <si>
    <t>3. 访问器</t>
  </si>
  <si>
    <t>4. 练习：增加洗牌和发牌功能</t>
  </si>
  <si>
    <t>8.泛型</t>
  </si>
  <si>
    <t>1. 在函数中使用泛型</t>
  </si>
  <si>
    <t>2. 在类、接口、类型别名中使用泛型</t>
  </si>
  <si>
    <t>3. 泛型约束</t>
  </si>
  <si>
    <t>4. 多泛型</t>
  </si>
  <si>
    <t>5. 练习：自定义字典类</t>
  </si>
  <si>
    <t>9.项目实战-使用React+TS开发三字棋游戏</t>
  </si>
  <si>
    <t>1. 效果展示和工程搭建</t>
  </si>
  <si>
    <t>2. 在React中使用TS</t>
  </si>
  <si>
    <t>3. 制作棋子组件</t>
  </si>
  <si>
    <t>4. 制作棋盘组件</t>
  </si>
  <si>
    <t>5. 制作Game组件-项目完结</t>
  </si>
  <si>
    <t>6. 总结</t>
  </si>
  <si>
    <t>TypeScript进阶 - 袁进（旧版）</t>
    <phoneticPr fontId="1" type="noConversion"/>
  </si>
  <si>
    <t>TypeScript基础 - 袁进（旧版）</t>
    <phoneticPr fontId="1" type="noConversion"/>
  </si>
  <si>
    <t>TypeScript编程全解 - 闫虹志（新版）</t>
    <phoneticPr fontId="1" type="noConversion"/>
  </si>
  <si>
    <t>1.深入理解类和接口</t>
  </si>
  <si>
    <t>1. 面向对象概述</t>
  </si>
  <si>
    <t>2. 类的继承</t>
  </si>
  <si>
    <t>3. 抽象类</t>
  </si>
  <si>
    <t>4. 静态成员</t>
  </si>
  <si>
    <t>5. 再谈接口</t>
  </si>
  <si>
    <t>6. 索引器</t>
  </si>
  <si>
    <t>7. this指向约束</t>
  </si>
  <si>
    <t>2.项目实战-使用webpack+ts开发俄罗斯方块</t>
  </si>
  <si>
    <t>2. 工程搭建</t>
  </si>
  <si>
    <t>3. 小方块类</t>
  </si>
  <si>
    <t>4. 小方块的显示类</t>
  </si>
  <si>
    <t>5. 开发方块组合类</t>
  </si>
  <si>
    <t>6. 开发俄罗斯方块生产者模块</t>
  </si>
  <si>
    <t>7. 开发俄罗斯方块规则类</t>
  </si>
  <si>
    <t>8. 实现俄罗斯方块旋转功能</t>
  </si>
  <si>
    <t>9. 实现游戏类</t>
  </si>
  <si>
    <t>10. 触底处理</t>
  </si>
  <si>
    <t>11. 完成游戏界面</t>
  </si>
  <si>
    <t>12. 消除处理</t>
  </si>
  <si>
    <t>13. 游戏结束判定和积分功能</t>
  </si>
  <si>
    <t>14. 项目总结</t>
  </si>
  <si>
    <t>3.装饰器</t>
  </si>
  <si>
    <t>2. 类装饰器</t>
  </si>
  <si>
    <t>3. 成员装饰器</t>
  </si>
  <si>
    <t>4. 装饰器练习</t>
  </si>
  <si>
    <t>5. reflect-metadata库</t>
  </si>
  <si>
    <t>6. class-validator和class-transformer库</t>
  </si>
  <si>
    <t>7. 装饰器补充</t>
  </si>
  <si>
    <t>4.类型演算</t>
  </si>
  <si>
    <t>1. 三个关键字</t>
  </si>
  <si>
    <t>2. 预定义的类型演算</t>
  </si>
  <si>
    <t>5.声明文件</t>
  </si>
  <si>
    <t>2. 编写声明文件</t>
  </si>
  <si>
    <t>3. 发布</t>
  </si>
  <si>
    <t>6.项目实战</t>
  </si>
  <si>
    <t>2. 服务器开发环境搭建</t>
  </si>
  <si>
    <t>3. 使用tslint 进行代码风格检查</t>
  </si>
  <si>
    <t>4. 开发Movie实体类</t>
  </si>
  <si>
    <t>5. 处理plainobject的转换</t>
  </si>
  <si>
    <t>6. 定义数据库模型</t>
  </si>
  <si>
    <t>7. 增删改查功能</t>
  </si>
  <si>
    <t>8. 按条件查询电影</t>
  </si>
  <si>
    <t>9. 完成api接口</t>
  </si>
  <si>
    <t>10. 完成图片上传接口</t>
  </si>
  <si>
    <t>11. 搭建客户端工程并完成ajax请求</t>
  </si>
  <si>
    <t>12. 创建reducer和action</t>
  </si>
  <si>
    <t>13. 创建仓库</t>
  </si>
  <si>
    <t>14. 用thunk 处理副作用</t>
  </si>
  <si>
    <t>15. 添加路由功能</t>
  </si>
  <si>
    <t>16. 制作布局</t>
  </si>
  <si>
    <t>17. 制作电影表格组件(1)</t>
  </si>
  <si>
    <t>18. 制作电影表格组件(2)</t>
  </si>
  <si>
    <t>19. 制作电影表格组件(3)</t>
  </si>
  <si>
    <t>20. 制作图片上传组件</t>
  </si>
  <si>
    <t>21. 制作电影表单组件</t>
  </si>
  <si>
    <t>22. 制作修改电影页面</t>
  </si>
  <si>
    <t>23. 项目打包</t>
  </si>
  <si>
    <t>7.TS和其他前端技术如何融合</t>
  </si>
  <si>
    <t>1.TS和其他前端技术如何融合</t>
    <phoneticPr fontId="1" type="noConversion"/>
  </si>
  <si>
    <t>重点</t>
    <phoneticPr fontId="1" type="noConversion"/>
  </si>
  <si>
    <t>11 12</t>
    <phoneticPr fontId="1" type="noConversion"/>
  </si>
  <si>
    <t>11 13</t>
    <phoneticPr fontId="1" type="noConversion"/>
  </si>
  <si>
    <t>12 13</t>
    <phoneticPr fontId="1" type="noConversion"/>
  </si>
  <si>
    <t>7 8</t>
    <phoneticPr fontId="1" type="noConversion"/>
  </si>
  <si>
    <t>8 9</t>
    <phoneticPr fontId="1" type="noConversion"/>
  </si>
  <si>
    <t>补充完整实测代码</t>
    <phoneticPr fontId="1" type="noConversion"/>
  </si>
  <si>
    <t>2026 除夕</t>
    <phoneticPr fontId="1" type="noConversion"/>
  </si>
  <si>
    <t>15 16</t>
    <phoneticPr fontId="1" type="noConversion"/>
  </si>
  <si>
    <t>16 17</t>
    <phoneticPr fontId="1" type="noConversion"/>
  </si>
  <si>
    <t>16 18</t>
    <phoneticPr fontId="1" type="noConversion"/>
  </si>
  <si>
    <t>18 19</t>
    <phoneticPr fontId="1" type="noConversion"/>
  </si>
  <si>
    <t>将实测代码放到根目录下</t>
    <phoneticPr fontId="1" type="noConversion"/>
  </si>
  <si>
    <t>4 5</t>
    <phoneticPr fontId="1" type="noConversion"/>
  </si>
  <si>
    <t>5 6</t>
    <phoneticPr fontId="1" type="noConversion"/>
  </si>
  <si>
    <t>6 7</t>
    <phoneticPr fontId="1" type="noConversion"/>
  </si>
  <si>
    <t>7 9</t>
    <phoneticPr fontId="1" type="noConversion"/>
  </si>
  <si>
    <t>前台使用后端接口数据，修复前台Bug</t>
    <phoneticPr fontId="1" type="noConversion"/>
  </si>
  <si>
    <t>修复分页列表Bug</t>
    <phoneticPr fontId="1" type="noConversion"/>
  </si>
  <si>
    <t>7 9 10</t>
    <phoneticPr fontId="1" type="noConversion"/>
  </si>
  <si>
    <t>重新设计页面、修复登录Bug、后端ico上传Bug</t>
    <phoneticPr fontId="1" type="noConversion"/>
  </si>
  <si>
    <t>10 11 12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</si>
</sst>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:ss"/>
  </numFmts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2"/>
      <color rgb="FF333333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  <font>
      <b/>
      <sz val="15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5"/>
      <color rgb="FF262626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5C0A5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2" fillId="0" borderId="0" xfId="0" applyFont="1" applyAlignment="1">
      <alignment horizontal="left" vertical="center" indent="28"/>
    </xf>
    <xf numFmtId="0" fontId="3" fillId="0" borderId="0" xfId="0" applyFont="1" applyAlignment="1">
      <alignment horizontal="left" vertical="center" indent="28"/>
    </xf>
    <xf numFmtId="0" fontId="0" fillId="0" borderId="0" xfId="0" applyAlignment="1">
      <alignment horizontal="left" vertical="center" indent="28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left" vertical="center" indent="25"/>
    </xf>
    <xf numFmtId="0" fontId="2" fillId="0" borderId="0" xfId="0" applyFont="1" applyAlignment="1">
      <alignment horizontal="left" vertical="center" indent="26"/>
    </xf>
    <xf numFmtId="0" fontId="2" fillId="0" borderId="0" xfId="0" applyFont="1" applyAlignment="1">
      <alignment horizontal="left" vertical="center" indent="29"/>
    </xf>
    <xf numFmtId="0" fontId="2" fillId="0" borderId="0" xfId="0" applyFont="1" applyAlignment="1">
      <alignment horizontal="left" vertical="center" indent="33"/>
    </xf>
    <xf numFmtId="0" fontId="2" fillId="0" borderId="0" xfId="0" applyFont="1" applyAlignment="1">
      <alignment horizontal="left" vertical="center" indent="31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2" xfId="0" applyFill="1" applyBorder="1">
      <alignment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0" borderId="4" xfId="0" applyBorder="1">
      <alignment vertical="center"/>
    </xf>
    <xf numFmtId="0" fontId="0" fillId="3" borderId="6" xfId="0" applyFill="1" applyBorder="1">
      <alignment vertical="center"/>
    </xf>
    <xf numFmtId="0" fontId="0" fillId="0" borderId="6" xfId="0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indent="25"/>
    </xf>
    <xf numFmtId="0" fontId="2" fillId="0" borderId="0" xfId="0" applyFont="1" applyAlignment="1">
      <alignment horizontal="left" vertical="center" indent="22"/>
    </xf>
    <xf numFmtId="0" fontId="9" fillId="0" borderId="0" xfId="0" applyFont="1">
      <alignment vertical="center"/>
    </xf>
    <xf numFmtId="0" fontId="2" fillId="0" borderId="0" xfId="0" applyFont="1" applyAlignment="1">
      <alignment horizontal="left" vertical="center" indent="20"/>
    </xf>
    <xf numFmtId="0" fontId="2" fillId="0" borderId="5" xfId="0" applyFont="1" applyBorder="1">
      <alignment vertical="center"/>
    </xf>
    <xf numFmtId="0" fontId="2" fillId="3" borderId="5" xfId="0" applyFont="1" applyFill="1" applyBorder="1">
      <alignment vertical="center"/>
    </xf>
    <xf numFmtId="0" fontId="0" fillId="3" borderId="5" xfId="0" applyFill="1" applyBorder="1" applyAlignment="1">
      <alignment horizontal="left" vertical="center" indent="1"/>
    </xf>
    <xf numFmtId="0" fontId="10" fillId="0" borderId="5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3" borderId="5" xfId="0" applyFill="1" applyBorder="1" applyAlignment="1">
      <alignment horizontal="left" vertical="center" indent="2"/>
    </xf>
    <xf numFmtId="0" fontId="0" fillId="0" borderId="1" xfId="0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1" fillId="3" borderId="5" xfId="0" applyFont="1" applyFill="1" applyBorder="1">
      <alignment vertical="center"/>
    </xf>
    <xf numFmtId="0" fontId="11" fillId="3" borderId="2" xfId="0" applyFont="1" applyFill="1" applyBorder="1">
      <alignment vertical="center"/>
    </xf>
    <xf numFmtId="0" fontId="6" fillId="3" borderId="6" xfId="0" applyFont="1" applyFill="1" applyBorder="1" applyAlignment="1">
      <alignment horizontal="center" vertical="center"/>
    </xf>
    <xf numFmtId="0" fontId="11" fillId="0" borderId="5" xfId="0" applyFont="1" applyBorder="1">
      <alignment vertical="center"/>
    </xf>
    <xf numFmtId="0" fontId="11" fillId="0" borderId="2" xfId="0" applyFont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3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12" fillId="0" borderId="5" xfId="0" applyFont="1" applyBorder="1">
      <alignment vertical="center"/>
    </xf>
    <xf numFmtId="0" fontId="11" fillId="0" borderId="0" xfId="0" applyFont="1">
      <alignment vertical="center"/>
    </xf>
    <xf numFmtId="0" fontId="2" fillId="0" borderId="0" xfId="0" applyFont="1" applyAlignment="1">
      <alignment horizontal="left" vertical="center" indent="32"/>
    </xf>
    <xf numFmtId="0" fontId="2" fillId="0" borderId="0" xfId="0" applyFont="1" applyAlignment="1">
      <alignment horizontal="left" vertical="center" indent="16"/>
    </xf>
    <xf numFmtId="0" fontId="2" fillId="0" borderId="0" xfId="0" applyFont="1" applyAlignment="1">
      <alignment horizontal="left" vertical="center" indent="2"/>
    </xf>
    <xf numFmtId="0" fontId="13" fillId="0" borderId="0" xfId="0" applyFont="1">
      <alignment vertical="center"/>
    </xf>
    <xf numFmtId="0" fontId="6" fillId="5" borderId="0" xfId="0" applyFont="1" applyFill="1" applyAlignment="1">
      <alignment horizontal="center"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1" fillId="3" borderId="1" xfId="0" applyFont="1" applyFill="1" applyBorder="1">
      <alignment vertical="center"/>
    </xf>
    <xf numFmtId="0" fontId="11" fillId="3" borderId="3" xfId="0" applyFont="1" applyFill="1" applyBorder="1">
      <alignment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31"/>
    </xf>
    <xf numFmtId="0" fontId="2" fillId="0" borderId="0" xfId="0" applyFont="1" applyAlignment="1">
      <alignment horizontal="left" vertical="center" indent="21"/>
    </xf>
    <xf numFmtId="0" fontId="0" fillId="0" borderId="0" xfId="0" applyAlignment="1">
      <alignment horizontal="left" vertical="center" indent="21"/>
    </xf>
    <xf numFmtId="0" fontId="2" fillId="0" borderId="0" xfId="0" applyFont="1" applyAlignment="1">
      <alignment horizontal="left" vertical="center" indent="17"/>
    </xf>
    <xf numFmtId="0" fontId="0" fillId="0" borderId="0" xfId="0" applyAlignment="1">
      <alignment horizontal="left" vertical="center" indent="17"/>
    </xf>
    <xf numFmtId="0" fontId="0" fillId="0" borderId="0" xfId="0" applyAlignment="1">
      <alignment horizontal="left" vertical="center" indent="32"/>
    </xf>
    <xf numFmtId="0" fontId="2" fillId="0" borderId="0" xfId="0" applyFont="1" applyAlignment="1">
      <alignment horizontal="left" vertical="center" indent="37"/>
    </xf>
    <xf numFmtId="0" fontId="0" fillId="0" borderId="0" xfId="0" applyAlignment="1">
      <alignment horizontal="left" vertical="center" indent="37"/>
    </xf>
    <xf numFmtId="0" fontId="2" fillId="0" borderId="0" xfId="0" applyFont="1" applyAlignment="1">
      <alignment horizontal="left" vertical="center" indent="34"/>
    </xf>
    <xf numFmtId="0" fontId="2" fillId="0" borderId="0" xfId="0" applyFont="1" applyAlignment="1">
      <alignment horizontal="left" vertical="center" indent="24"/>
    </xf>
    <xf numFmtId="0" fontId="2" fillId="0" borderId="0" xfId="0" applyFont="1" applyAlignment="1">
      <alignment horizontal="left" vertical="center" indent="27"/>
    </xf>
    <xf numFmtId="0" fontId="15" fillId="0" borderId="0" xfId="0" applyFont="1">
      <alignment vertical="center"/>
    </xf>
    <xf numFmtId="14" fontId="0" fillId="0" borderId="0" xfId="0" applyNumberFormat="1">
      <alignment vertical="center"/>
    </xf>
    <xf numFmtId="176" fontId="12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0" fillId="0" borderId="0" xfId="0" applyFont="1">
      <alignment vertical="center"/>
    </xf>
    <xf numFmtId="176" fontId="11" fillId="0" borderId="0" xfId="0" applyNumberFormat="1" applyFont="1">
      <alignment vertical="center"/>
    </xf>
    <xf numFmtId="58" fontId="6" fillId="0" borderId="0" xfId="0" applyNumberFormat="1" applyFont="1" applyAlignment="1">
      <alignment horizontal="center" vertical="center"/>
    </xf>
    <xf numFmtId="46" fontId="11" fillId="0" borderId="0" xfId="0" applyNumberFormat="1" applyFont="1">
      <alignment vertical="center"/>
    </xf>
    <xf numFmtId="0" fontId="16" fillId="0" borderId="0" xfId="0" applyFont="1">
      <alignment vertical="center"/>
    </xf>
    <xf numFmtId="58" fontId="0" fillId="0" borderId="0" xfId="0" applyNumberFormat="1">
      <alignment vertical="center"/>
    </xf>
    <xf numFmtId="21" fontId="0" fillId="0" borderId="0" xfId="0" applyNumberFormat="1">
      <alignment vertical="center"/>
    </xf>
    <xf numFmtId="46" fontId="0" fillId="0" borderId="0" xfId="0" applyNumberFormat="1">
      <alignment vertical="center"/>
    </xf>
    <xf numFmtId="46" fontId="2" fillId="0" borderId="0" xfId="0" applyNumberFormat="1" applyFont="1">
      <alignment vertical="center"/>
    </xf>
    <xf numFmtId="0" fontId="4" fillId="2" borderId="0" xfId="0" applyFont="1" applyFill="1" applyBorder="1" applyAlignment="1">
      <alignment horizontal="center" vertical="center"/>
    </xf>
    <xf numFmtId="21" fontId="1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1E8D-40FC-4FEC-80E2-AB1337891220}">
  <sheetPr codeName="Sheet3"/>
  <dimension ref="A1:D47"/>
  <sheetViews>
    <sheetView workbookViewId="0">
      <selection activeCell="F1" sqref="F1"/>
    </sheetView>
  </sheetViews>
  <sheetFormatPr defaultRowHeight="14.25" x14ac:dyDescent="0.2"/>
  <cols>
    <col min="1" max="1" width="52.75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38</v>
      </c>
    </row>
    <row r="2" spans="1:4" x14ac:dyDescent="0.2">
      <c r="A2" t="s">
        <v>162</v>
      </c>
    </row>
    <row r="3" spans="1:4" x14ac:dyDescent="0.2">
      <c r="A3" t="s">
        <v>172</v>
      </c>
      <c r="B3">
        <v>7</v>
      </c>
      <c r="C3">
        <v>32</v>
      </c>
    </row>
    <row r="4" spans="1:4" x14ac:dyDescent="0.2">
      <c r="A4" t="s">
        <v>163</v>
      </c>
    </row>
    <row r="5" spans="1:4" x14ac:dyDescent="0.2">
      <c r="A5" t="s">
        <v>173</v>
      </c>
      <c r="B5">
        <v>8</v>
      </c>
      <c r="C5">
        <v>51</v>
      </c>
    </row>
    <row r="6" spans="1:4" x14ac:dyDescent="0.2">
      <c r="A6" t="s">
        <v>164</v>
      </c>
    </row>
    <row r="7" spans="1:4" x14ac:dyDescent="0.2">
      <c r="A7" t="s">
        <v>174</v>
      </c>
      <c r="B7">
        <v>48</v>
      </c>
      <c r="C7">
        <v>8</v>
      </c>
    </row>
    <row r="8" spans="1:4" x14ac:dyDescent="0.2">
      <c r="A8" t="s">
        <v>175</v>
      </c>
      <c r="B8">
        <v>104</v>
      </c>
      <c r="C8">
        <v>49</v>
      </c>
    </row>
    <row r="9" spans="1:4" x14ac:dyDescent="0.2">
      <c r="A9" t="s">
        <v>176</v>
      </c>
      <c r="B9">
        <v>1</v>
      </c>
      <c r="C9">
        <v>26</v>
      </c>
    </row>
    <row r="10" spans="1:4" x14ac:dyDescent="0.2">
      <c r="A10" t="s">
        <v>165</v>
      </c>
    </row>
    <row r="11" spans="1:4" x14ac:dyDescent="0.2">
      <c r="A11" t="s">
        <v>177</v>
      </c>
      <c r="B11">
        <v>74</v>
      </c>
      <c r="C11">
        <v>36</v>
      </c>
    </row>
    <row r="12" spans="1:4" x14ac:dyDescent="0.2">
      <c r="A12" t="s">
        <v>178</v>
      </c>
      <c r="B12">
        <v>64</v>
      </c>
      <c r="C12">
        <v>54</v>
      </c>
    </row>
    <row r="13" spans="1:4" x14ac:dyDescent="0.2">
      <c r="A13" t="s">
        <v>179</v>
      </c>
      <c r="B13">
        <v>3</v>
      </c>
      <c r="C13">
        <v>44</v>
      </c>
    </row>
    <row r="14" spans="1:4" x14ac:dyDescent="0.2">
      <c r="A14" t="s">
        <v>180</v>
      </c>
      <c r="B14">
        <v>123</v>
      </c>
      <c r="C14">
        <v>43</v>
      </c>
    </row>
    <row r="15" spans="1:4" x14ac:dyDescent="0.2">
      <c r="A15" t="s">
        <v>166</v>
      </c>
    </row>
    <row r="16" spans="1:4" x14ac:dyDescent="0.2">
      <c r="A16" t="s">
        <v>181</v>
      </c>
      <c r="B16">
        <v>50</v>
      </c>
      <c r="C16">
        <v>38</v>
      </c>
    </row>
    <row r="17" spans="1:3" x14ac:dyDescent="0.2">
      <c r="A17" t="s">
        <v>182</v>
      </c>
      <c r="B17">
        <v>4</v>
      </c>
      <c r="C17">
        <v>42</v>
      </c>
    </row>
    <row r="18" spans="1:3" x14ac:dyDescent="0.2">
      <c r="A18" t="s">
        <v>183</v>
      </c>
      <c r="B18">
        <v>29</v>
      </c>
      <c r="C18">
        <v>16</v>
      </c>
    </row>
    <row r="19" spans="1:3" x14ac:dyDescent="0.2">
      <c r="A19" t="s">
        <v>167</v>
      </c>
    </row>
    <row r="20" spans="1:3" x14ac:dyDescent="0.2">
      <c r="A20" t="s">
        <v>184</v>
      </c>
      <c r="B20">
        <v>33</v>
      </c>
      <c r="C20">
        <v>4</v>
      </c>
    </row>
    <row r="21" spans="1:3" x14ac:dyDescent="0.2">
      <c r="A21" t="s">
        <v>185</v>
      </c>
      <c r="B21">
        <v>4</v>
      </c>
      <c r="C21">
        <v>15</v>
      </c>
    </row>
    <row r="22" spans="1:3" x14ac:dyDescent="0.2">
      <c r="A22" t="s">
        <v>186</v>
      </c>
      <c r="B22">
        <v>14</v>
      </c>
      <c r="C22">
        <v>52</v>
      </c>
    </row>
    <row r="23" spans="1:3" x14ac:dyDescent="0.2">
      <c r="A23" t="s">
        <v>187</v>
      </c>
      <c r="B23">
        <v>23</v>
      </c>
      <c r="C23">
        <v>29</v>
      </c>
    </row>
    <row r="24" spans="1:3" x14ac:dyDescent="0.2">
      <c r="A24" t="s">
        <v>168</v>
      </c>
    </row>
    <row r="25" spans="1:3" x14ac:dyDescent="0.2">
      <c r="A25" t="s">
        <v>188</v>
      </c>
      <c r="B25">
        <v>40</v>
      </c>
      <c r="C25">
        <v>16</v>
      </c>
    </row>
    <row r="26" spans="1:3" x14ac:dyDescent="0.2">
      <c r="A26" t="s">
        <v>189</v>
      </c>
      <c r="B26">
        <v>46</v>
      </c>
      <c r="C26">
        <v>34</v>
      </c>
    </row>
    <row r="27" spans="1:3" x14ac:dyDescent="0.2">
      <c r="A27" t="s">
        <v>169</v>
      </c>
    </row>
    <row r="28" spans="1:3" x14ac:dyDescent="0.2">
      <c r="A28" t="s">
        <v>190</v>
      </c>
      <c r="B28">
        <v>40</v>
      </c>
      <c r="C28">
        <v>17</v>
      </c>
    </row>
    <row r="29" spans="1:3" x14ac:dyDescent="0.2">
      <c r="A29" t="s">
        <v>170</v>
      </c>
    </row>
    <row r="30" spans="1:3" x14ac:dyDescent="0.2">
      <c r="A30" t="s">
        <v>191</v>
      </c>
      <c r="B30">
        <v>17</v>
      </c>
      <c r="C30">
        <v>35</v>
      </c>
    </row>
    <row r="31" spans="1:3" x14ac:dyDescent="0.2">
      <c r="A31" t="s">
        <v>192</v>
      </c>
      <c r="B31">
        <v>61</v>
      </c>
      <c r="C31">
        <v>7</v>
      </c>
    </row>
    <row r="32" spans="1:3" x14ac:dyDescent="0.2">
      <c r="A32" t="s">
        <v>193</v>
      </c>
      <c r="B32">
        <v>21</v>
      </c>
      <c r="C32">
        <v>21</v>
      </c>
    </row>
    <row r="33" spans="1:3" x14ac:dyDescent="0.2">
      <c r="A33" t="s">
        <v>194</v>
      </c>
      <c r="B33">
        <v>47</v>
      </c>
      <c r="C33">
        <v>7</v>
      </c>
    </row>
    <row r="34" spans="1:3" x14ac:dyDescent="0.2">
      <c r="A34" t="s">
        <v>195</v>
      </c>
      <c r="B34">
        <v>49</v>
      </c>
      <c r="C34">
        <v>2</v>
      </c>
    </row>
    <row r="35" spans="1:3" x14ac:dyDescent="0.2">
      <c r="A35" t="s">
        <v>196</v>
      </c>
      <c r="B35">
        <v>71</v>
      </c>
      <c r="C35">
        <v>25</v>
      </c>
    </row>
    <row r="36" spans="1:3" x14ac:dyDescent="0.2">
      <c r="A36" t="s">
        <v>197</v>
      </c>
      <c r="B36">
        <v>22</v>
      </c>
      <c r="C36">
        <v>0</v>
      </c>
    </row>
    <row r="37" spans="1:3" x14ac:dyDescent="0.2">
      <c r="A37" t="s">
        <v>198</v>
      </c>
      <c r="B37">
        <v>24</v>
      </c>
      <c r="C37">
        <v>41</v>
      </c>
    </row>
    <row r="38" spans="1:3" x14ac:dyDescent="0.2">
      <c r="A38" t="s">
        <v>199</v>
      </c>
      <c r="B38">
        <v>31</v>
      </c>
      <c r="C38">
        <v>45</v>
      </c>
    </row>
    <row r="39" spans="1:3" x14ac:dyDescent="0.2">
      <c r="A39" t="s">
        <v>200</v>
      </c>
      <c r="B39">
        <v>27</v>
      </c>
      <c r="C39">
        <v>32</v>
      </c>
    </row>
    <row r="40" spans="1:3" x14ac:dyDescent="0.2">
      <c r="A40" t="s">
        <v>171</v>
      </c>
    </row>
    <row r="41" spans="1:3" x14ac:dyDescent="0.2">
      <c r="A41" t="s">
        <v>201</v>
      </c>
      <c r="B41">
        <v>14</v>
      </c>
      <c r="C41">
        <v>33</v>
      </c>
    </row>
    <row r="42" spans="1:3" x14ac:dyDescent="0.2">
      <c r="A42" t="s">
        <v>202</v>
      </c>
      <c r="B42">
        <v>32</v>
      </c>
      <c r="C42">
        <v>3</v>
      </c>
    </row>
    <row r="43" spans="1:3" x14ac:dyDescent="0.2">
      <c r="A43" t="s">
        <v>203</v>
      </c>
      <c r="B43">
        <v>15</v>
      </c>
      <c r="C43">
        <v>0</v>
      </c>
    </row>
    <row r="44" spans="1:3" x14ac:dyDescent="0.2">
      <c r="A44" t="s">
        <v>204</v>
      </c>
      <c r="B44">
        <v>35</v>
      </c>
      <c r="C44">
        <v>9</v>
      </c>
    </row>
    <row r="45" spans="1:3" x14ac:dyDescent="0.2">
      <c r="A45" t="s">
        <v>205</v>
      </c>
      <c r="B45">
        <v>40</v>
      </c>
      <c r="C45">
        <v>44</v>
      </c>
    </row>
    <row r="46" spans="1:3" x14ac:dyDescent="0.2">
      <c r="A46" t="s">
        <v>206</v>
      </c>
      <c r="B46">
        <v>32</v>
      </c>
      <c r="C46">
        <v>42</v>
      </c>
    </row>
    <row r="47" spans="1:3" x14ac:dyDescent="0.2">
      <c r="A47" s="74" t="str">
        <f>"总时长："&amp;TEXT(SUM(B:B)/1440+SUM(C:C)/86400,"[h]:mm:ss")</f>
        <v>总时长：21:08:52</v>
      </c>
      <c r="B47" s="75"/>
      <c r="C47" s="7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3B80-1D2B-41F2-9997-2425A74C9955}">
  <sheetPr codeName="Sheet4"/>
  <dimension ref="A1:D89"/>
  <sheetViews>
    <sheetView workbookViewId="0">
      <selection activeCell="C89" sqref="C89"/>
    </sheetView>
  </sheetViews>
  <sheetFormatPr defaultRowHeight="14.25" x14ac:dyDescent="0.2"/>
  <cols>
    <col min="1" max="1" width="46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38</v>
      </c>
    </row>
    <row r="2" spans="1:4" x14ac:dyDescent="0.2">
      <c r="A2" t="s">
        <v>75</v>
      </c>
      <c r="B2">
        <v>44</v>
      </c>
      <c r="C2">
        <v>0</v>
      </c>
    </row>
    <row r="3" spans="1:4" x14ac:dyDescent="0.2">
      <c r="A3" t="s">
        <v>88</v>
      </c>
      <c r="B3">
        <v>49</v>
      </c>
      <c r="C3">
        <v>48</v>
      </c>
    </row>
    <row r="4" spans="1:4" x14ac:dyDescent="0.2">
      <c r="A4" t="s">
        <v>89</v>
      </c>
      <c r="B4">
        <v>1</v>
      </c>
      <c r="C4">
        <v>43</v>
      </c>
    </row>
    <row r="5" spans="1:4" x14ac:dyDescent="0.2">
      <c r="A5" t="s">
        <v>90</v>
      </c>
      <c r="B5">
        <v>37</v>
      </c>
      <c r="C5">
        <v>4</v>
      </c>
    </row>
    <row r="6" spans="1:4" x14ac:dyDescent="0.2">
      <c r="A6" t="s">
        <v>91</v>
      </c>
    </row>
    <row r="7" spans="1:4" x14ac:dyDescent="0.2">
      <c r="A7" t="s">
        <v>76</v>
      </c>
      <c r="B7">
        <v>58</v>
      </c>
      <c r="C7">
        <v>31</v>
      </c>
    </row>
    <row r="8" spans="1:4" x14ac:dyDescent="0.2">
      <c r="A8" t="s">
        <v>92</v>
      </c>
      <c r="B8">
        <v>26</v>
      </c>
      <c r="C8">
        <v>15</v>
      </c>
    </row>
    <row r="9" spans="1:4" x14ac:dyDescent="0.2">
      <c r="A9" t="s">
        <v>93</v>
      </c>
      <c r="B9">
        <v>7</v>
      </c>
      <c r="C9">
        <v>43</v>
      </c>
    </row>
    <row r="10" spans="1:4" x14ac:dyDescent="0.2">
      <c r="A10" t="s">
        <v>94</v>
      </c>
      <c r="B10">
        <v>50</v>
      </c>
      <c r="C10">
        <v>41</v>
      </c>
    </row>
    <row r="11" spans="1:4" x14ac:dyDescent="0.2">
      <c r="A11" t="s">
        <v>95</v>
      </c>
      <c r="B11">
        <v>12</v>
      </c>
      <c r="C11">
        <v>53</v>
      </c>
    </row>
    <row r="12" spans="1:4" x14ac:dyDescent="0.2">
      <c r="A12" t="s">
        <v>96</v>
      </c>
      <c r="B12">
        <v>36</v>
      </c>
      <c r="C12">
        <v>0</v>
      </c>
    </row>
    <row r="13" spans="1:4" x14ac:dyDescent="0.2">
      <c r="A13" t="s">
        <v>97</v>
      </c>
    </row>
    <row r="14" spans="1:4" x14ac:dyDescent="0.2">
      <c r="A14" t="s">
        <v>77</v>
      </c>
      <c r="B14">
        <v>28</v>
      </c>
      <c r="C14">
        <v>54</v>
      </c>
    </row>
    <row r="15" spans="1:4" x14ac:dyDescent="0.2">
      <c r="A15" t="s">
        <v>98</v>
      </c>
      <c r="B15">
        <v>32</v>
      </c>
      <c r="C15">
        <v>32</v>
      </c>
    </row>
    <row r="16" spans="1:4" x14ac:dyDescent="0.2">
      <c r="A16" t="s">
        <v>99</v>
      </c>
      <c r="B16">
        <v>16</v>
      </c>
      <c r="C16">
        <v>46</v>
      </c>
    </row>
    <row r="17" spans="1:3" x14ac:dyDescent="0.2">
      <c r="A17" t="s">
        <v>100</v>
      </c>
      <c r="B17">
        <v>19</v>
      </c>
      <c r="C17">
        <v>31</v>
      </c>
    </row>
    <row r="18" spans="1:3" x14ac:dyDescent="0.2">
      <c r="A18" t="s">
        <v>101</v>
      </c>
      <c r="B18">
        <v>22</v>
      </c>
      <c r="C18">
        <v>58</v>
      </c>
    </row>
    <row r="19" spans="1:3" x14ac:dyDescent="0.2">
      <c r="A19" t="s">
        <v>102</v>
      </c>
    </row>
    <row r="20" spans="1:3" x14ac:dyDescent="0.2">
      <c r="A20" t="s">
        <v>78</v>
      </c>
      <c r="B20">
        <v>17</v>
      </c>
      <c r="C20">
        <v>5</v>
      </c>
    </row>
    <row r="21" spans="1:3" x14ac:dyDescent="0.2">
      <c r="A21" t="s">
        <v>103</v>
      </c>
      <c r="B21">
        <v>61</v>
      </c>
      <c r="C21">
        <v>31</v>
      </c>
    </row>
    <row r="22" spans="1:3" x14ac:dyDescent="0.2">
      <c r="A22" t="s">
        <v>104</v>
      </c>
    </row>
    <row r="23" spans="1:3" x14ac:dyDescent="0.2">
      <c r="A23" t="s">
        <v>79</v>
      </c>
      <c r="B23">
        <v>41</v>
      </c>
      <c r="C23">
        <v>11</v>
      </c>
    </row>
    <row r="24" spans="1:3" x14ac:dyDescent="0.2">
      <c r="A24" t="s">
        <v>105</v>
      </c>
      <c r="B24">
        <v>75</v>
      </c>
      <c r="C24">
        <v>14</v>
      </c>
    </row>
    <row r="25" spans="1:3" x14ac:dyDescent="0.2">
      <c r="A25" t="s">
        <v>106</v>
      </c>
      <c r="B25">
        <v>61</v>
      </c>
      <c r="C25">
        <v>5</v>
      </c>
    </row>
    <row r="26" spans="1:3" x14ac:dyDescent="0.2">
      <c r="A26" t="s">
        <v>107</v>
      </c>
      <c r="B26">
        <v>58</v>
      </c>
      <c r="C26">
        <v>8</v>
      </c>
    </row>
    <row r="27" spans="1:3" x14ac:dyDescent="0.2">
      <c r="A27" t="s">
        <v>108</v>
      </c>
      <c r="B27">
        <v>20</v>
      </c>
      <c r="C27">
        <v>4</v>
      </c>
    </row>
    <row r="28" spans="1:3" x14ac:dyDescent="0.2">
      <c r="A28" t="s">
        <v>109</v>
      </c>
      <c r="B28">
        <v>34</v>
      </c>
      <c r="C28">
        <v>44</v>
      </c>
    </row>
    <row r="29" spans="1:3" x14ac:dyDescent="0.2">
      <c r="A29" t="s">
        <v>110</v>
      </c>
      <c r="B29">
        <v>36</v>
      </c>
      <c r="C29">
        <v>34</v>
      </c>
    </row>
    <row r="30" spans="1:3" x14ac:dyDescent="0.2">
      <c r="A30" t="s">
        <v>111</v>
      </c>
    </row>
    <row r="31" spans="1:3" x14ac:dyDescent="0.2">
      <c r="A31" t="s">
        <v>80</v>
      </c>
      <c r="B31">
        <v>39</v>
      </c>
      <c r="C31">
        <v>18</v>
      </c>
    </row>
    <row r="32" spans="1:3" x14ac:dyDescent="0.2">
      <c r="A32" t="s">
        <v>112</v>
      </c>
      <c r="B32">
        <v>1</v>
      </c>
      <c r="C32">
        <v>43</v>
      </c>
    </row>
    <row r="33" spans="1:3" x14ac:dyDescent="0.2">
      <c r="A33" t="s">
        <v>113</v>
      </c>
      <c r="B33">
        <v>39</v>
      </c>
      <c r="C33">
        <v>3</v>
      </c>
    </row>
    <row r="34" spans="1:3" x14ac:dyDescent="0.2">
      <c r="A34" t="s">
        <v>114</v>
      </c>
      <c r="B34">
        <v>49</v>
      </c>
      <c r="C34">
        <v>49</v>
      </c>
    </row>
    <row r="35" spans="1:3" x14ac:dyDescent="0.2">
      <c r="A35" t="s">
        <v>115</v>
      </c>
    </row>
    <row r="36" spans="1:3" x14ac:dyDescent="0.2">
      <c r="A36" t="s">
        <v>81</v>
      </c>
      <c r="B36">
        <v>51</v>
      </c>
      <c r="C36">
        <v>31</v>
      </c>
    </row>
    <row r="37" spans="1:3" x14ac:dyDescent="0.2">
      <c r="A37" t="s">
        <v>116</v>
      </c>
      <c r="B37">
        <v>49</v>
      </c>
      <c r="C37">
        <v>36</v>
      </c>
    </row>
    <row r="38" spans="1:3" x14ac:dyDescent="0.2">
      <c r="A38" t="s">
        <v>117</v>
      </c>
      <c r="B38">
        <v>73</v>
      </c>
      <c r="C38">
        <v>27</v>
      </c>
    </row>
    <row r="39" spans="1:3" x14ac:dyDescent="0.2">
      <c r="A39" t="s">
        <v>118</v>
      </c>
      <c r="B39">
        <v>58</v>
      </c>
      <c r="C39">
        <v>56</v>
      </c>
    </row>
    <row r="40" spans="1:3" x14ac:dyDescent="0.2">
      <c r="A40" t="s">
        <v>119</v>
      </c>
      <c r="B40">
        <v>27</v>
      </c>
      <c r="C40">
        <v>33</v>
      </c>
    </row>
    <row r="41" spans="1:3" x14ac:dyDescent="0.2">
      <c r="A41" t="s">
        <v>120</v>
      </c>
      <c r="B41">
        <v>27</v>
      </c>
      <c r="C41">
        <v>25</v>
      </c>
    </row>
    <row r="42" spans="1:3" x14ac:dyDescent="0.2">
      <c r="A42" t="s">
        <v>121</v>
      </c>
      <c r="B42">
        <v>31</v>
      </c>
      <c r="C42">
        <v>9</v>
      </c>
    </row>
    <row r="43" spans="1:3" x14ac:dyDescent="0.2">
      <c r="A43" t="s">
        <v>122</v>
      </c>
      <c r="B43">
        <v>21</v>
      </c>
      <c r="C43">
        <v>11</v>
      </c>
    </row>
    <row r="44" spans="1:3" x14ac:dyDescent="0.2">
      <c r="A44" t="s">
        <v>123</v>
      </c>
      <c r="B44">
        <v>52</v>
      </c>
      <c r="C44">
        <v>46</v>
      </c>
    </row>
    <row r="45" spans="1:3" x14ac:dyDescent="0.2">
      <c r="A45" t="s">
        <v>124</v>
      </c>
      <c r="B45">
        <v>47</v>
      </c>
      <c r="C45">
        <v>54</v>
      </c>
    </row>
    <row r="46" spans="1:3" x14ac:dyDescent="0.2">
      <c r="A46" t="s">
        <v>125</v>
      </c>
    </row>
    <row r="47" spans="1:3" x14ac:dyDescent="0.2">
      <c r="A47" t="s">
        <v>82</v>
      </c>
      <c r="B47">
        <v>14</v>
      </c>
      <c r="C47">
        <v>38</v>
      </c>
    </row>
    <row r="48" spans="1:3" x14ac:dyDescent="0.2">
      <c r="A48" t="s">
        <v>126</v>
      </c>
      <c r="B48">
        <v>13</v>
      </c>
      <c r="C48">
        <v>47</v>
      </c>
    </row>
    <row r="49" spans="1:3" x14ac:dyDescent="0.2">
      <c r="A49" t="s">
        <v>127</v>
      </c>
      <c r="B49">
        <v>84</v>
      </c>
      <c r="C49">
        <v>41</v>
      </c>
    </row>
    <row r="50" spans="1:3" x14ac:dyDescent="0.2">
      <c r="A50" t="s">
        <v>128</v>
      </c>
      <c r="B50">
        <v>52</v>
      </c>
      <c r="C50">
        <v>23</v>
      </c>
    </row>
    <row r="51" spans="1:3" x14ac:dyDescent="0.2">
      <c r="A51" t="s">
        <v>129</v>
      </c>
      <c r="B51">
        <v>89</v>
      </c>
      <c r="C51">
        <v>24</v>
      </c>
    </row>
    <row r="52" spans="1:3" x14ac:dyDescent="0.2">
      <c r="A52" t="s">
        <v>130</v>
      </c>
      <c r="B52">
        <v>29</v>
      </c>
      <c r="C52">
        <v>4</v>
      </c>
    </row>
    <row r="53" spans="1:3" x14ac:dyDescent="0.2">
      <c r="A53" t="s">
        <v>131</v>
      </c>
      <c r="B53">
        <v>27</v>
      </c>
      <c r="C53">
        <v>0</v>
      </c>
    </row>
    <row r="54" spans="1:3" x14ac:dyDescent="0.2">
      <c r="A54" t="s">
        <v>132</v>
      </c>
    </row>
    <row r="55" spans="1:3" x14ac:dyDescent="0.2">
      <c r="A55" t="s">
        <v>83</v>
      </c>
      <c r="B55">
        <v>9</v>
      </c>
      <c r="C55">
        <v>46</v>
      </c>
    </row>
    <row r="56" spans="1:3" x14ac:dyDescent="0.2">
      <c r="A56" t="s">
        <v>133</v>
      </c>
      <c r="B56">
        <v>35</v>
      </c>
      <c r="C56">
        <v>37</v>
      </c>
    </row>
    <row r="57" spans="1:3" x14ac:dyDescent="0.2">
      <c r="A57" t="s">
        <v>134</v>
      </c>
      <c r="B57">
        <v>34</v>
      </c>
      <c r="C57">
        <v>8</v>
      </c>
    </row>
    <row r="58" spans="1:3" x14ac:dyDescent="0.2">
      <c r="A58" t="s">
        <v>135</v>
      </c>
      <c r="B58">
        <v>49</v>
      </c>
      <c r="C58">
        <v>17</v>
      </c>
    </row>
    <row r="59" spans="1:3" x14ac:dyDescent="0.2">
      <c r="A59" t="s">
        <v>136</v>
      </c>
      <c r="B59">
        <v>5</v>
      </c>
      <c r="C59">
        <v>42</v>
      </c>
    </row>
    <row r="60" spans="1:3" x14ac:dyDescent="0.2">
      <c r="A60" t="s">
        <v>137</v>
      </c>
      <c r="B60">
        <v>9</v>
      </c>
      <c r="C60">
        <v>17</v>
      </c>
    </row>
    <row r="61" spans="1:3" x14ac:dyDescent="0.2">
      <c r="A61" t="s">
        <v>138</v>
      </c>
      <c r="B61">
        <v>21</v>
      </c>
      <c r="C61">
        <v>45</v>
      </c>
    </row>
    <row r="62" spans="1:3" x14ac:dyDescent="0.2">
      <c r="A62" t="s">
        <v>139</v>
      </c>
      <c r="B62">
        <v>17</v>
      </c>
      <c r="C62">
        <v>5</v>
      </c>
    </row>
    <row r="63" spans="1:3" x14ac:dyDescent="0.2">
      <c r="A63" t="s">
        <v>140</v>
      </c>
      <c r="B63">
        <v>84</v>
      </c>
      <c r="C63">
        <v>51</v>
      </c>
    </row>
    <row r="64" spans="1:3" x14ac:dyDescent="0.2">
      <c r="A64" t="s">
        <v>141</v>
      </c>
      <c r="B64">
        <v>49</v>
      </c>
      <c r="C64">
        <v>26</v>
      </c>
    </row>
    <row r="65" spans="1:3" x14ac:dyDescent="0.2">
      <c r="A65" t="s">
        <v>142</v>
      </c>
    </row>
    <row r="66" spans="1:3" x14ac:dyDescent="0.2">
      <c r="A66" t="s">
        <v>84</v>
      </c>
      <c r="B66">
        <v>58</v>
      </c>
      <c r="C66">
        <v>31</v>
      </c>
    </row>
    <row r="67" spans="1:3" x14ac:dyDescent="0.2">
      <c r="A67" t="s">
        <v>143</v>
      </c>
      <c r="B67">
        <v>38</v>
      </c>
      <c r="C67">
        <v>35</v>
      </c>
    </row>
    <row r="68" spans="1:3" x14ac:dyDescent="0.2">
      <c r="A68" t="s">
        <v>144</v>
      </c>
      <c r="B68">
        <v>72</v>
      </c>
      <c r="C68">
        <v>1</v>
      </c>
    </row>
    <row r="69" spans="1:3" x14ac:dyDescent="0.2">
      <c r="A69" t="s">
        <v>145</v>
      </c>
      <c r="B69">
        <v>23</v>
      </c>
      <c r="C69">
        <v>49</v>
      </c>
    </row>
    <row r="70" spans="1:3" x14ac:dyDescent="0.2">
      <c r="A70" t="s">
        <v>146</v>
      </c>
      <c r="B70">
        <v>51</v>
      </c>
      <c r="C70">
        <v>5</v>
      </c>
    </row>
    <row r="71" spans="1:3" x14ac:dyDescent="0.2">
      <c r="A71" t="s">
        <v>147</v>
      </c>
    </row>
    <row r="72" spans="1:3" x14ac:dyDescent="0.2">
      <c r="A72" t="s">
        <v>85</v>
      </c>
      <c r="B72">
        <v>35</v>
      </c>
      <c r="C72">
        <v>41</v>
      </c>
    </row>
    <row r="73" spans="1:3" x14ac:dyDescent="0.2">
      <c r="A73" t="s">
        <v>148</v>
      </c>
      <c r="B73">
        <v>19</v>
      </c>
      <c r="C73">
        <v>54</v>
      </c>
    </row>
    <row r="74" spans="1:3" x14ac:dyDescent="0.2">
      <c r="A74" t="s">
        <v>149</v>
      </c>
      <c r="B74">
        <v>64</v>
      </c>
      <c r="C74">
        <v>1</v>
      </c>
    </row>
    <row r="75" spans="1:3" x14ac:dyDescent="0.2">
      <c r="A75" t="s">
        <v>150</v>
      </c>
      <c r="B75">
        <v>129</v>
      </c>
      <c r="C75">
        <v>19</v>
      </c>
    </row>
    <row r="76" spans="1:3" x14ac:dyDescent="0.2">
      <c r="A76" t="s">
        <v>151</v>
      </c>
      <c r="B76">
        <v>31</v>
      </c>
      <c r="C76">
        <v>13</v>
      </c>
    </row>
    <row r="77" spans="1:3" x14ac:dyDescent="0.2">
      <c r="A77" t="s">
        <v>152</v>
      </c>
      <c r="B77">
        <v>76</v>
      </c>
      <c r="C77">
        <v>1</v>
      </c>
    </row>
    <row r="78" spans="1:3" x14ac:dyDescent="0.2">
      <c r="A78" t="s">
        <v>153</v>
      </c>
      <c r="B78">
        <v>42</v>
      </c>
      <c r="C78">
        <v>47</v>
      </c>
    </row>
    <row r="79" spans="1:3" x14ac:dyDescent="0.2">
      <c r="A79" t="s">
        <v>154</v>
      </c>
      <c r="B79">
        <v>54</v>
      </c>
      <c r="C79">
        <v>35</v>
      </c>
    </row>
    <row r="80" spans="1:3" x14ac:dyDescent="0.2">
      <c r="A80" t="s">
        <v>155</v>
      </c>
      <c r="B80">
        <v>56</v>
      </c>
      <c r="C80">
        <v>42</v>
      </c>
    </row>
    <row r="81" spans="1:3" x14ac:dyDescent="0.2">
      <c r="A81" t="s">
        <v>156</v>
      </c>
      <c r="B81">
        <v>54</v>
      </c>
      <c r="C81">
        <v>38</v>
      </c>
    </row>
    <row r="82" spans="1:3" x14ac:dyDescent="0.2">
      <c r="A82" t="s">
        <v>157</v>
      </c>
    </row>
    <row r="83" spans="1:3" x14ac:dyDescent="0.2">
      <c r="A83" t="s">
        <v>86</v>
      </c>
      <c r="B83">
        <v>28</v>
      </c>
      <c r="C83">
        <v>41</v>
      </c>
    </row>
    <row r="84" spans="1:3" x14ac:dyDescent="0.2">
      <c r="A84" t="s">
        <v>158</v>
      </c>
      <c r="B84">
        <v>21</v>
      </c>
      <c r="C84">
        <v>59</v>
      </c>
    </row>
    <row r="85" spans="1:3" x14ac:dyDescent="0.2">
      <c r="A85" t="s">
        <v>159</v>
      </c>
    </row>
    <row r="86" spans="1:3" x14ac:dyDescent="0.2">
      <c r="A86" t="s">
        <v>87</v>
      </c>
      <c r="B86">
        <v>14</v>
      </c>
      <c r="C86">
        <v>33</v>
      </c>
    </row>
    <row r="87" spans="1:3" x14ac:dyDescent="0.2">
      <c r="A87" t="s">
        <v>160</v>
      </c>
      <c r="B87">
        <v>0</v>
      </c>
      <c r="C87">
        <v>45</v>
      </c>
    </row>
    <row r="88" spans="1:3" x14ac:dyDescent="0.2">
      <c r="A88" t="s">
        <v>161</v>
      </c>
      <c r="B88">
        <v>0</v>
      </c>
      <c r="C88">
        <v>45</v>
      </c>
    </row>
    <row r="89" spans="1:3" x14ac:dyDescent="0.2">
      <c r="A89" s="58" t="str">
        <f>"总时长："&amp;TEXT(SUM(B:B)/1440+SUM(C:C)/86400,"[h]:mm:ss")</f>
        <v>总时长：48:45:42</v>
      </c>
      <c r="B89" s="73"/>
      <c r="C89" s="7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99BE-9F84-4BAB-8CB9-C9B281CC6A64}">
  <sheetPr codeName="Sheet5"/>
  <dimension ref="A1:D9"/>
  <sheetViews>
    <sheetView workbookViewId="0">
      <selection activeCell="F23" sqref="F23"/>
    </sheetView>
  </sheetViews>
  <sheetFormatPr defaultRowHeight="14.25" x14ac:dyDescent="0.2"/>
  <cols>
    <col min="1" max="1" width="22.25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38</v>
      </c>
    </row>
    <row r="2" spans="1:4" ht="15.75" x14ac:dyDescent="0.2">
      <c r="A2" s="24" t="s">
        <v>207</v>
      </c>
      <c r="B2">
        <v>34</v>
      </c>
      <c r="C2">
        <v>26</v>
      </c>
    </row>
    <row r="3" spans="1:4" ht="15.75" x14ac:dyDescent="0.2">
      <c r="A3" s="24" t="s">
        <v>208</v>
      </c>
      <c r="B3">
        <v>33</v>
      </c>
      <c r="C3">
        <v>32</v>
      </c>
    </row>
    <row r="4" spans="1:4" ht="15.75" x14ac:dyDescent="0.2">
      <c r="A4" s="24" t="s">
        <v>209</v>
      </c>
      <c r="B4">
        <v>53</v>
      </c>
      <c r="C4">
        <v>27</v>
      </c>
    </row>
    <row r="5" spans="1:4" ht="15.75" x14ac:dyDescent="0.2">
      <c r="A5" s="24" t="s">
        <v>210</v>
      </c>
      <c r="B5">
        <v>7</v>
      </c>
      <c r="C5">
        <v>49</v>
      </c>
    </row>
    <row r="6" spans="1:4" ht="15.75" x14ac:dyDescent="0.2">
      <c r="A6" s="24" t="s">
        <v>211</v>
      </c>
      <c r="B6">
        <v>54</v>
      </c>
      <c r="C6">
        <v>18</v>
      </c>
    </row>
    <row r="7" spans="1:4" ht="15.75" x14ac:dyDescent="0.2">
      <c r="A7" s="24" t="s">
        <v>212</v>
      </c>
      <c r="B7">
        <v>33</v>
      </c>
      <c r="C7">
        <v>34</v>
      </c>
    </row>
    <row r="8" spans="1:4" ht="15.75" x14ac:dyDescent="0.2">
      <c r="A8" s="24" t="s">
        <v>213</v>
      </c>
      <c r="B8">
        <v>41</v>
      </c>
      <c r="C8">
        <v>12</v>
      </c>
    </row>
    <row r="9" spans="1:4" x14ac:dyDescent="0.2">
      <c r="A9" s="71" t="str">
        <f>"总时长："&amp;TEXT(SUM(B:B)/1440+SUM(C:C)/86400,"[h]:mm:ss")</f>
        <v>总时长：4:18:18</v>
      </c>
      <c r="B9" s="72"/>
      <c r="C9" s="7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B752-814C-4C87-B89E-FD54022B7B26}">
  <sheetPr codeName="Sheet6"/>
  <dimension ref="A1:D17"/>
  <sheetViews>
    <sheetView workbookViewId="0">
      <selection activeCell="A15" sqref="A15"/>
    </sheetView>
  </sheetViews>
  <sheetFormatPr defaultRowHeight="14.25" x14ac:dyDescent="0.2"/>
  <cols>
    <col min="1" max="1" width="30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38</v>
      </c>
    </row>
    <row r="2" spans="1:4" ht="15.75" x14ac:dyDescent="0.2">
      <c r="A2" s="24" t="s">
        <v>286</v>
      </c>
      <c r="B2">
        <v>31</v>
      </c>
      <c r="C2">
        <v>47</v>
      </c>
    </row>
    <row r="3" spans="1:4" ht="15.75" x14ac:dyDescent="0.2">
      <c r="A3" s="24" t="s">
        <v>287</v>
      </c>
      <c r="B3">
        <v>33</v>
      </c>
      <c r="C3">
        <v>8</v>
      </c>
    </row>
    <row r="4" spans="1:4" ht="15.75" x14ac:dyDescent="0.2">
      <c r="A4" s="24" t="s">
        <v>288</v>
      </c>
      <c r="B4">
        <v>21</v>
      </c>
      <c r="C4">
        <v>33</v>
      </c>
    </row>
    <row r="5" spans="1:4" ht="15.75" x14ac:dyDescent="0.2">
      <c r="A5" s="24" t="s">
        <v>289</v>
      </c>
      <c r="B5">
        <v>14</v>
      </c>
      <c r="C5">
        <v>32</v>
      </c>
    </row>
    <row r="6" spans="1:4" ht="15.75" x14ac:dyDescent="0.2">
      <c r="A6" s="24" t="s">
        <v>290</v>
      </c>
      <c r="B6">
        <v>17</v>
      </c>
      <c r="C6">
        <v>56</v>
      </c>
    </row>
    <row r="7" spans="1:4" ht="15.75" x14ac:dyDescent="0.2">
      <c r="A7" s="24" t="s">
        <v>291</v>
      </c>
      <c r="B7">
        <v>28</v>
      </c>
      <c r="C7">
        <v>40</v>
      </c>
    </row>
    <row r="8" spans="1:4" ht="15.75" x14ac:dyDescent="0.2">
      <c r="A8" s="24" t="s">
        <v>292</v>
      </c>
      <c r="B8">
        <v>20</v>
      </c>
      <c r="C8">
        <v>42</v>
      </c>
    </row>
    <row r="9" spans="1:4" ht="15.75" x14ac:dyDescent="0.2">
      <c r="A9" s="24" t="s">
        <v>293</v>
      </c>
      <c r="B9">
        <v>31</v>
      </c>
      <c r="C9">
        <v>53</v>
      </c>
    </row>
    <row r="10" spans="1:4" ht="15.75" x14ac:dyDescent="0.2">
      <c r="A10" s="24" t="s">
        <v>294</v>
      </c>
      <c r="B10">
        <v>19</v>
      </c>
      <c r="C10">
        <v>45</v>
      </c>
    </row>
    <row r="11" spans="1:4" ht="15.75" x14ac:dyDescent="0.2">
      <c r="A11" s="24" t="s">
        <v>295</v>
      </c>
      <c r="B11">
        <v>7</v>
      </c>
      <c r="C11">
        <v>15</v>
      </c>
    </row>
    <row r="12" spans="1:4" ht="15.75" x14ac:dyDescent="0.2">
      <c r="A12" s="24" t="s">
        <v>296</v>
      </c>
      <c r="B12">
        <v>25</v>
      </c>
      <c r="C12">
        <v>46</v>
      </c>
    </row>
    <row r="13" spans="1:4" ht="15.75" x14ac:dyDescent="0.2">
      <c r="A13" s="24" t="s">
        <v>297</v>
      </c>
      <c r="B13">
        <v>29</v>
      </c>
      <c r="C13">
        <v>31</v>
      </c>
    </row>
    <row r="14" spans="1:4" ht="15.75" x14ac:dyDescent="0.2">
      <c r="A14" s="24" t="s">
        <v>298</v>
      </c>
      <c r="B14">
        <v>13</v>
      </c>
      <c r="C14">
        <v>45</v>
      </c>
    </row>
    <row r="15" spans="1:4" ht="15.75" x14ac:dyDescent="0.2">
      <c r="A15" s="24" t="s">
        <v>299</v>
      </c>
      <c r="B15">
        <v>18</v>
      </c>
      <c r="C15">
        <v>43</v>
      </c>
    </row>
    <row r="16" spans="1:4" ht="15.75" x14ac:dyDescent="0.2">
      <c r="A16" s="24" t="s">
        <v>300</v>
      </c>
      <c r="B16">
        <v>8</v>
      </c>
      <c r="C16">
        <v>38</v>
      </c>
    </row>
    <row r="17" spans="1:3" x14ac:dyDescent="0.2">
      <c r="A17" s="69" t="str">
        <f>"总时长："&amp;TEXT(SUM(B:B)/1440+SUM(C:C)/86400,"[h]:mm:ss")</f>
        <v>总时长：5:23:34</v>
      </c>
      <c r="B17" s="70"/>
      <c r="C17" s="70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94BB-162C-4327-BF62-6D3636325352}">
  <sheetPr codeName="Sheet7"/>
  <dimension ref="A1:O99"/>
  <sheetViews>
    <sheetView topLeftCell="A4" workbookViewId="0">
      <selection activeCell="A95" sqref="A95"/>
    </sheetView>
  </sheetViews>
  <sheetFormatPr defaultRowHeight="14.25" x14ac:dyDescent="0.2"/>
  <cols>
    <col min="1" max="1" width="42.125" customWidth="1"/>
    <col min="2" max="2" width="9.625" customWidth="1"/>
    <col min="3" max="3" width="9.75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38</v>
      </c>
    </row>
    <row r="2" spans="1:4" x14ac:dyDescent="0.2">
      <c r="A2" s="39" t="s">
        <v>214</v>
      </c>
      <c r="B2" s="17"/>
      <c r="C2" s="17"/>
      <c r="D2" s="28"/>
    </row>
    <row r="3" spans="1:4" x14ac:dyDescent="0.2">
      <c r="A3" s="41" t="s">
        <v>172</v>
      </c>
      <c r="B3" s="20">
        <v>7</v>
      </c>
      <c r="C3" s="20">
        <v>32</v>
      </c>
      <c r="D3" s="29"/>
    </row>
    <row r="4" spans="1:4" x14ac:dyDescent="0.2">
      <c r="A4" s="39" t="s">
        <v>163</v>
      </c>
      <c r="B4" s="17"/>
      <c r="C4" s="17"/>
      <c r="D4" s="28"/>
    </row>
    <row r="5" spans="1:4" x14ac:dyDescent="0.2">
      <c r="A5" s="42" t="s">
        <v>173</v>
      </c>
      <c r="B5" s="20">
        <v>8</v>
      </c>
      <c r="C5" s="20">
        <v>51</v>
      </c>
      <c r="D5" s="29"/>
    </row>
    <row r="6" spans="1:4" x14ac:dyDescent="0.2">
      <c r="A6" s="39" t="s">
        <v>215</v>
      </c>
      <c r="B6" s="17"/>
      <c r="C6" s="17"/>
      <c r="D6" s="28"/>
    </row>
    <row r="7" spans="1:4" x14ac:dyDescent="0.2">
      <c r="A7" s="42" t="s">
        <v>239</v>
      </c>
      <c r="B7" s="20">
        <v>63</v>
      </c>
      <c r="C7" s="20">
        <v>16</v>
      </c>
      <c r="D7" s="29"/>
    </row>
    <row r="8" spans="1:4" x14ac:dyDescent="0.2">
      <c r="A8" s="40" t="s">
        <v>240</v>
      </c>
      <c r="B8" s="17">
        <v>103</v>
      </c>
      <c r="C8" s="17">
        <v>16</v>
      </c>
      <c r="D8" s="28"/>
    </row>
    <row r="9" spans="1:4" x14ac:dyDescent="0.2">
      <c r="A9" s="42" t="s">
        <v>176</v>
      </c>
      <c r="B9" s="20">
        <v>1</v>
      </c>
      <c r="C9" s="20">
        <v>26</v>
      </c>
      <c r="D9" s="29"/>
    </row>
    <row r="10" spans="1:4" x14ac:dyDescent="0.2">
      <c r="A10" s="39" t="s">
        <v>216</v>
      </c>
      <c r="B10" s="17"/>
      <c r="C10" s="17"/>
      <c r="D10" s="28"/>
    </row>
    <row r="11" spans="1:4" x14ac:dyDescent="0.2">
      <c r="A11" s="42" t="s">
        <v>241</v>
      </c>
      <c r="B11" s="20">
        <v>42</v>
      </c>
      <c r="C11" s="20">
        <v>4</v>
      </c>
      <c r="D11" s="29"/>
    </row>
    <row r="12" spans="1:4" x14ac:dyDescent="0.2">
      <c r="A12" s="40" t="s">
        <v>242</v>
      </c>
      <c r="B12" s="17">
        <v>111</v>
      </c>
      <c r="C12" s="17">
        <v>20</v>
      </c>
      <c r="D12" s="28"/>
    </row>
    <row r="13" spans="1:4" x14ac:dyDescent="0.2">
      <c r="A13" s="42" t="s">
        <v>179</v>
      </c>
      <c r="B13" s="20">
        <v>3</v>
      </c>
      <c r="C13" s="20">
        <v>44</v>
      </c>
      <c r="D13" s="29"/>
    </row>
    <row r="14" spans="1:4" x14ac:dyDescent="0.2">
      <c r="A14" s="39" t="s">
        <v>217</v>
      </c>
      <c r="B14" s="17"/>
      <c r="C14" s="17"/>
      <c r="D14" s="28"/>
    </row>
    <row r="15" spans="1:4" x14ac:dyDescent="0.2">
      <c r="A15" s="42" t="s">
        <v>243</v>
      </c>
      <c r="B15" s="20">
        <v>61</v>
      </c>
      <c r="C15" s="20">
        <v>38</v>
      </c>
      <c r="D15" s="29"/>
    </row>
    <row r="16" spans="1:4" x14ac:dyDescent="0.2">
      <c r="A16" s="40" t="s">
        <v>244</v>
      </c>
      <c r="B16" s="17">
        <v>84</v>
      </c>
      <c r="C16" s="17">
        <v>34</v>
      </c>
      <c r="D16" s="28"/>
    </row>
    <row r="17" spans="1:4" x14ac:dyDescent="0.2">
      <c r="A17" s="38" t="s">
        <v>218</v>
      </c>
      <c r="B17" s="20"/>
      <c r="C17" s="20"/>
      <c r="D17" s="29"/>
    </row>
    <row r="18" spans="1:4" x14ac:dyDescent="0.2">
      <c r="A18" s="40" t="s">
        <v>245</v>
      </c>
      <c r="B18" s="17">
        <v>56</v>
      </c>
      <c r="C18" s="17">
        <v>6</v>
      </c>
      <c r="D18" s="28"/>
    </row>
    <row r="19" spans="1:4" x14ac:dyDescent="0.2">
      <c r="A19" s="42" t="s">
        <v>246</v>
      </c>
      <c r="B19" s="20">
        <v>23</v>
      </c>
      <c r="C19" s="20">
        <v>32</v>
      </c>
      <c r="D19" s="29"/>
    </row>
    <row r="20" spans="1:4" x14ac:dyDescent="0.2">
      <c r="A20" s="39" t="s">
        <v>219</v>
      </c>
      <c r="B20" s="17"/>
      <c r="C20" s="17"/>
      <c r="D20" s="28"/>
    </row>
    <row r="21" spans="1:4" x14ac:dyDescent="0.2">
      <c r="A21" s="42" t="s">
        <v>247</v>
      </c>
      <c r="B21" s="20">
        <v>100</v>
      </c>
      <c r="C21" s="20">
        <v>26</v>
      </c>
      <c r="D21" s="29"/>
    </row>
    <row r="22" spans="1:4" x14ac:dyDescent="0.2">
      <c r="A22" s="40" t="s">
        <v>185</v>
      </c>
      <c r="B22" s="17">
        <v>4</v>
      </c>
      <c r="C22" s="17">
        <v>15</v>
      </c>
      <c r="D22" s="28"/>
    </row>
    <row r="23" spans="1:4" x14ac:dyDescent="0.2">
      <c r="A23" s="42" t="s">
        <v>248</v>
      </c>
      <c r="B23" s="20">
        <v>50</v>
      </c>
      <c r="C23" s="20">
        <v>5</v>
      </c>
      <c r="D23" s="29"/>
    </row>
    <row r="24" spans="1:4" x14ac:dyDescent="0.2">
      <c r="A24" s="40" t="s">
        <v>220</v>
      </c>
      <c r="B24" s="17"/>
      <c r="C24" s="17"/>
      <c r="D24" s="28"/>
    </row>
    <row r="25" spans="1:4" x14ac:dyDescent="0.2">
      <c r="A25" s="42" t="s">
        <v>249</v>
      </c>
      <c r="B25" s="20">
        <v>25</v>
      </c>
      <c r="C25" s="20">
        <v>21</v>
      </c>
      <c r="D25" s="29"/>
    </row>
    <row r="26" spans="1:4" x14ac:dyDescent="0.2">
      <c r="A26" s="39" t="s">
        <v>221</v>
      </c>
      <c r="B26" s="17"/>
      <c r="C26" s="17"/>
      <c r="D26" s="28"/>
    </row>
    <row r="27" spans="1:4" x14ac:dyDescent="0.2">
      <c r="A27" s="42" t="s">
        <v>250</v>
      </c>
      <c r="B27" s="20">
        <v>41</v>
      </c>
      <c r="C27" s="20">
        <v>51</v>
      </c>
      <c r="D27" s="29"/>
    </row>
    <row r="28" spans="1:4" x14ac:dyDescent="0.2">
      <c r="A28" s="40" t="s">
        <v>251</v>
      </c>
      <c r="B28" s="17">
        <v>77</v>
      </c>
      <c r="C28" s="17">
        <v>38</v>
      </c>
      <c r="D28" s="28"/>
    </row>
    <row r="29" spans="1:4" x14ac:dyDescent="0.2">
      <c r="A29" s="42" t="s">
        <v>252</v>
      </c>
      <c r="B29" s="20">
        <v>42</v>
      </c>
      <c r="C29" s="20">
        <v>43</v>
      </c>
      <c r="D29" s="29"/>
    </row>
    <row r="30" spans="1:4" x14ac:dyDescent="0.2">
      <c r="A30" s="40" t="s">
        <v>253</v>
      </c>
      <c r="B30" s="17">
        <v>146</v>
      </c>
      <c r="C30" s="17">
        <v>2</v>
      </c>
      <c r="D30" s="28"/>
    </row>
    <row r="31" spans="1:4" x14ac:dyDescent="0.2">
      <c r="A31" s="38" t="s">
        <v>222</v>
      </c>
      <c r="B31" s="20"/>
      <c r="C31" s="20"/>
      <c r="D31" s="29"/>
    </row>
    <row r="32" spans="1:4" x14ac:dyDescent="0.2">
      <c r="A32" s="40" t="s">
        <v>254</v>
      </c>
      <c r="B32" s="17">
        <v>58</v>
      </c>
      <c r="C32" s="17">
        <v>21</v>
      </c>
      <c r="D32" s="28"/>
    </row>
    <row r="33" spans="1:4" x14ac:dyDescent="0.2">
      <c r="A33" s="42" t="s">
        <v>255</v>
      </c>
      <c r="B33" s="20">
        <v>71</v>
      </c>
      <c r="C33" s="20">
        <v>4</v>
      </c>
      <c r="D33" s="29"/>
    </row>
    <row r="34" spans="1:4" x14ac:dyDescent="0.2">
      <c r="A34" s="39" t="s">
        <v>223</v>
      </c>
      <c r="B34" s="17"/>
      <c r="C34" s="17"/>
      <c r="D34" s="28"/>
    </row>
    <row r="35" spans="1:4" x14ac:dyDescent="0.2">
      <c r="A35" s="42" t="s">
        <v>256</v>
      </c>
      <c r="B35" s="20">
        <v>41</v>
      </c>
      <c r="C35" s="20">
        <v>29</v>
      </c>
      <c r="D35" s="29"/>
    </row>
    <row r="36" spans="1:4" x14ac:dyDescent="0.2">
      <c r="A36" s="40" t="s">
        <v>257</v>
      </c>
      <c r="B36" s="17">
        <v>110</v>
      </c>
      <c r="C36" s="17">
        <v>37</v>
      </c>
      <c r="D36" s="28"/>
    </row>
    <row r="37" spans="1:4" x14ac:dyDescent="0.2">
      <c r="A37" s="42" t="s">
        <v>258</v>
      </c>
      <c r="B37" s="20">
        <v>2</v>
      </c>
      <c r="C37" s="20">
        <v>33</v>
      </c>
      <c r="D37" s="29"/>
    </row>
    <row r="38" spans="1:4" x14ac:dyDescent="0.2">
      <c r="A38" s="39" t="s">
        <v>224</v>
      </c>
      <c r="B38" s="17"/>
      <c r="C38" s="17"/>
      <c r="D38" s="28"/>
    </row>
    <row r="39" spans="1:4" x14ac:dyDescent="0.2">
      <c r="A39" s="42" t="s">
        <v>259</v>
      </c>
      <c r="B39" s="20">
        <v>54</v>
      </c>
      <c r="C39" s="20">
        <v>18</v>
      </c>
      <c r="D39" s="29"/>
    </row>
    <row r="40" spans="1:4" x14ac:dyDescent="0.2">
      <c r="A40" s="40" t="s">
        <v>260</v>
      </c>
      <c r="B40" s="17">
        <v>71</v>
      </c>
      <c r="C40" s="17">
        <v>40</v>
      </c>
      <c r="D40" s="28"/>
    </row>
    <row r="41" spans="1:4" x14ac:dyDescent="0.2">
      <c r="A41" s="38" t="s">
        <v>225</v>
      </c>
      <c r="B41" s="20"/>
      <c r="C41" s="20"/>
      <c r="D41" s="29"/>
    </row>
    <row r="42" spans="1:4" x14ac:dyDescent="0.2">
      <c r="A42" s="40" t="s">
        <v>261</v>
      </c>
      <c r="B42" s="17">
        <v>56</v>
      </c>
      <c r="C42" s="17">
        <v>31</v>
      </c>
      <c r="D42" s="28"/>
    </row>
    <row r="43" spans="1:4" x14ac:dyDescent="0.2">
      <c r="A43" s="42" t="s">
        <v>262</v>
      </c>
      <c r="B43" s="20">
        <v>53</v>
      </c>
      <c r="C43" s="20">
        <v>3</v>
      </c>
      <c r="D43" s="29"/>
    </row>
    <row r="44" spans="1:4" x14ac:dyDescent="0.2">
      <c r="A44" s="39" t="s">
        <v>226</v>
      </c>
      <c r="B44" s="17"/>
      <c r="C44" s="17"/>
      <c r="D44" s="28"/>
    </row>
    <row r="45" spans="1:4" x14ac:dyDescent="0.2">
      <c r="A45" s="42" t="s">
        <v>263</v>
      </c>
      <c r="B45" s="20">
        <v>32</v>
      </c>
      <c r="C45" s="20">
        <v>27</v>
      </c>
      <c r="D45" s="29"/>
    </row>
    <row r="46" spans="1:4" x14ac:dyDescent="0.2">
      <c r="A46" s="40" t="s">
        <v>264</v>
      </c>
      <c r="B46" s="17">
        <v>86</v>
      </c>
      <c r="C46" s="17">
        <v>52</v>
      </c>
      <c r="D46" s="28"/>
    </row>
    <row r="47" spans="1:4" x14ac:dyDescent="0.2">
      <c r="A47" s="42" t="s">
        <v>265</v>
      </c>
      <c r="B47" s="20">
        <v>20</v>
      </c>
      <c r="C47" s="20">
        <v>19</v>
      </c>
      <c r="D47" s="29"/>
    </row>
    <row r="48" spans="1:4" x14ac:dyDescent="0.2">
      <c r="A48" s="39" t="s">
        <v>227</v>
      </c>
      <c r="B48" s="17"/>
      <c r="C48" s="17"/>
      <c r="D48" s="28"/>
    </row>
    <row r="49" spans="1:4" x14ac:dyDescent="0.2">
      <c r="A49" s="42" t="s">
        <v>190</v>
      </c>
      <c r="B49" s="20">
        <v>40</v>
      </c>
      <c r="C49" s="20">
        <v>17</v>
      </c>
      <c r="D49" s="29"/>
    </row>
    <row r="50" spans="1:4" x14ac:dyDescent="0.2">
      <c r="A50" s="39" t="s">
        <v>228</v>
      </c>
      <c r="B50" s="17"/>
      <c r="C50" s="17"/>
      <c r="D50" s="28"/>
    </row>
    <row r="51" spans="1:4" x14ac:dyDescent="0.2">
      <c r="A51" s="42" t="s">
        <v>266</v>
      </c>
      <c r="B51" s="20">
        <v>26</v>
      </c>
      <c r="C51" s="20">
        <v>51</v>
      </c>
      <c r="D51" s="29"/>
    </row>
    <row r="52" spans="1:4" x14ac:dyDescent="0.2">
      <c r="A52" s="40" t="s">
        <v>267</v>
      </c>
      <c r="B52" s="17">
        <v>75</v>
      </c>
      <c r="C52" s="17">
        <v>3</v>
      </c>
      <c r="D52" s="28"/>
    </row>
    <row r="53" spans="1:4" x14ac:dyDescent="0.2">
      <c r="A53" s="38" t="s">
        <v>229</v>
      </c>
      <c r="B53" s="20"/>
      <c r="C53" s="20"/>
      <c r="D53" s="29"/>
    </row>
    <row r="54" spans="1:4" x14ac:dyDescent="0.2">
      <c r="A54" s="40" t="s">
        <v>268</v>
      </c>
      <c r="B54" s="17">
        <v>53</v>
      </c>
      <c r="C54" s="17">
        <v>31</v>
      </c>
      <c r="D54" s="28"/>
    </row>
    <row r="55" spans="1:4" x14ac:dyDescent="0.2">
      <c r="A55" s="42" t="s">
        <v>269</v>
      </c>
      <c r="B55" s="20">
        <v>62</v>
      </c>
      <c r="C55" s="20">
        <v>46</v>
      </c>
      <c r="D55" s="29"/>
    </row>
    <row r="56" spans="1:4" x14ac:dyDescent="0.2">
      <c r="A56" s="39" t="s">
        <v>230</v>
      </c>
      <c r="B56" s="17"/>
      <c r="C56" s="17"/>
      <c r="D56" s="28"/>
    </row>
    <row r="57" spans="1:4" x14ac:dyDescent="0.2">
      <c r="A57" s="42" t="s">
        <v>270</v>
      </c>
      <c r="B57" s="20">
        <v>97</v>
      </c>
      <c r="C57" s="20">
        <v>50</v>
      </c>
      <c r="D57" s="29"/>
    </row>
    <row r="58" spans="1:4" x14ac:dyDescent="0.2">
      <c r="A58" s="39" t="s">
        <v>231</v>
      </c>
      <c r="B58" s="17"/>
      <c r="C58" s="17"/>
      <c r="D58" s="28"/>
    </row>
    <row r="59" spans="1:4" x14ac:dyDescent="0.2">
      <c r="A59" s="42" t="s">
        <v>271</v>
      </c>
      <c r="B59" s="20">
        <v>33</v>
      </c>
      <c r="C59" s="20">
        <v>38</v>
      </c>
      <c r="D59" s="29"/>
    </row>
    <row r="60" spans="1:4" x14ac:dyDescent="0.2">
      <c r="A60" s="43" t="s">
        <v>272</v>
      </c>
      <c r="B60" s="17">
        <v>69</v>
      </c>
      <c r="C60" s="17">
        <v>48</v>
      </c>
      <c r="D60" s="28"/>
    </row>
    <row r="61" spans="1:4" x14ac:dyDescent="0.2">
      <c r="A61" s="42" t="s">
        <v>273</v>
      </c>
      <c r="B61" s="20">
        <v>4</v>
      </c>
      <c r="C61" s="20">
        <v>31</v>
      </c>
      <c r="D61" s="29"/>
    </row>
    <row r="62" spans="1:4" x14ac:dyDescent="0.2">
      <c r="A62" s="39" t="s">
        <v>232</v>
      </c>
      <c r="B62" s="17"/>
      <c r="C62" s="17"/>
      <c r="D62" s="28"/>
    </row>
    <row r="63" spans="1:4" x14ac:dyDescent="0.2">
      <c r="A63" s="42" t="s">
        <v>274</v>
      </c>
      <c r="B63" s="20">
        <v>51</v>
      </c>
      <c r="C63" s="20">
        <v>33</v>
      </c>
      <c r="D63" s="29"/>
    </row>
    <row r="64" spans="1:4" x14ac:dyDescent="0.2">
      <c r="A64" s="40" t="s">
        <v>275</v>
      </c>
      <c r="B64" s="17">
        <v>23</v>
      </c>
      <c r="C64" s="17">
        <v>1</v>
      </c>
      <c r="D64" s="28"/>
    </row>
    <row r="65" spans="1:4" x14ac:dyDescent="0.2">
      <c r="A65" s="42" t="s">
        <v>276</v>
      </c>
      <c r="B65" s="20">
        <v>5</v>
      </c>
      <c r="C65" s="20">
        <v>33</v>
      </c>
      <c r="D65" s="29"/>
    </row>
    <row r="66" spans="1:4" x14ac:dyDescent="0.2">
      <c r="A66" s="39" t="s">
        <v>233</v>
      </c>
      <c r="B66" s="17"/>
      <c r="C66" s="17"/>
      <c r="D66" s="28"/>
    </row>
    <row r="67" spans="1:4" x14ac:dyDescent="0.2">
      <c r="A67" s="42" t="s">
        <v>277</v>
      </c>
      <c r="B67" s="20">
        <v>81</v>
      </c>
      <c r="C67" s="20">
        <v>3</v>
      </c>
      <c r="D67" s="29"/>
    </row>
    <row r="68" spans="1:4" x14ac:dyDescent="0.2">
      <c r="A68" s="40" t="s">
        <v>278</v>
      </c>
      <c r="B68" s="17">
        <v>59</v>
      </c>
      <c r="C68" s="17">
        <v>9</v>
      </c>
      <c r="D68" s="28"/>
    </row>
    <row r="69" spans="1:4" x14ac:dyDescent="0.2">
      <c r="A69" s="38" t="s">
        <v>234</v>
      </c>
      <c r="B69" s="20"/>
      <c r="C69" s="20"/>
      <c r="D69" s="29"/>
    </row>
    <row r="70" spans="1:4" x14ac:dyDescent="0.2">
      <c r="A70" s="40" t="s">
        <v>279</v>
      </c>
      <c r="B70" s="17">
        <v>22</v>
      </c>
      <c r="C70" s="17">
        <v>36</v>
      </c>
      <c r="D70" s="28"/>
    </row>
    <row r="71" spans="1:4" x14ac:dyDescent="0.2">
      <c r="A71" s="42" t="s">
        <v>280</v>
      </c>
      <c r="B71" s="20">
        <v>64</v>
      </c>
      <c r="C71" s="20">
        <v>12</v>
      </c>
      <c r="D71" s="29"/>
    </row>
    <row r="72" spans="1:4" x14ac:dyDescent="0.2">
      <c r="A72" s="39" t="s">
        <v>235</v>
      </c>
      <c r="B72" s="17"/>
      <c r="C72" s="17"/>
      <c r="D72" s="28"/>
    </row>
    <row r="73" spans="1:4" x14ac:dyDescent="0.2">
      <c r="A73" s="42" t="s">
        <v>281</v>
      </c>
      <c r="B73" s="20">
        <v>98</v>
      </c>
      <c r="C73" s="20">
        <v>21</v>
      </c>
      <c r="D73" s="29"/>
    </row>
    <row r="74" spans="1:4" x14ac:dyDescent="0.2">
      <c r="A74" s="39" t="s">
        <v>236</v>
      </c>
      <c r="B74" s="17"/>
      <c r="C74" s="17"/>
      <c r="D74" s="28"/>
    </row>
    <row r="75" spans="1:4" x14ac:dyDescent="0.2">
      <c r="A75" s="42" t="s">
        <v>282</v>
      </c>
      <c r="B75" s="20">
        <v>75</v>
      </c>
      <c r="C75" s="20">
        <v>24</v>
      </c>
      <c r="D75" s="29"/>
    </row>
    <row r="76" spans="1:4" x14ac:dyDescent="0.2">
      <c r="A76" s="42" t="s">
        <v>283</v>
      </c>
      <c r="B76" s="20">
        <v>29</v>
      </c>
      <c r="C76" s="20">
        <v>56</v>
      </c>
      <c r="D76" s="29"/>
    </row>
    <row r="77" spans="1:4" x14ac:dyDescent="0.2">
      <c r="A77" s="39" t="s">
        <v>237</v>
      </c>
      <c r="B77" s="17"/>
      <c r="C77" s="17"/>
      <c r="D77" s="28"/>
    </row>
    <row r="78" spans="1:4" x14ac:dyDescent="0.2">
      <c r="A78" s="42" t="s">
        <v>284</v>
      </c>
      <c r="B78" s="20">
        <v>64</v>
      </c>
      <c r="C78" s="20">
        <v>10</v>
      </c>
      <c r="D78" s="29"/>
    </row>
    <row r="79" spans="1:4" x14ac:dyDescent="0.2">
      <c r="A79" s="40" t="s">
        <v>285</v>
      </c>
      <c r="B79" s="17">
        <v>78</v>
      </c>
      <c r="C79" s="17">
        <v>7</v>
      </c>
      <c r="D79" s="28"/>
    </row>
    <row r="80" spans="1:4" x14ac:dyDescent="0.2">
      <c r="A80" s="38" t="s">
        <v>238</v>
      </c>
      <c r="B80" s="20"/>
      <c r="C80" s="20"/>
      <c r="D80" s="29"/>
    </row>
    <row r="81" spans="1:15" x14ac:dyDescent="0.2">
      <c r="A81" s="40" t="s">
        <v>188</v>
      </c>
      <c r="B81" s="17">
        <v>40</v>
      </c>
      <c r="C81" s="17">
        <v>16</v>
      </c>
      <c r="D81" s="28"/>
      <c r="H81" s="25" t="s">
        <v>301</v>
      </c>
      <c r="I81" s="25" t="s">
        <v>302</v>
      </c>
      <c r="J81" s="25" t="s">
        <v>303</v>
      </c>
      <c r="K81" s="25" t="s">
        <v>599</v>
      </c>
    </row>
    <row r="82" spans="1:15" x14ac:dyDescent="0.2">
      <c r="A82" s="44" t="s">
        <v>189</v>
      </c>
      <c r="B82" s="7">
        <v>46</v>
      </c>
      <c r="C82" s="7">
        <v>34</v>
      </c>
      <c r="D82" s="27"/>
      <c r="H82" s="25">
        <v>21</v>
      </c>
      <c r="I82" s="25">
        <v>8</v>
      </c>
      <c r="J82" s="25">
        <v>52</v>
      </c>
      <c r="K82" s="25">
        <v>1</v>
      </c>
    </row>
    <row r="83" spans="1:15" x14ac:dyDescent="0.2">
      <c r="A83" s="12" t="str">
        <f>"总时长："&amp;TEXT(SUM(B:B)/1440+SUM(C:C)/86400,"[h]:mm:ss")</f>
        <v>总时长：48:39:04</v>
      </c>
      <c r="B83" s="68"/>
      <c r="C83" s="68"/>
      <c r="H83" s="25">
        <v>48</v>
      </c>
      <c r="I83" s="25">
        <v>39</v>
      </c>
      <c r="J83" s="25">
        <v>4</v>
      </c>
      <c r="K83" s="25">
        <v>2</v>
      </c>
    </row>
    <row r="84" spans="1:15" x14ac:dyDescent="0.2">
      <c r="H84" s="25">
        <v>48</v>
      </c>
      <c r="I84" s="25">
        <v>45</v>
      </c>
      <c r="J84" s="25">
        <v>42</v>
      </c>
      <c r="K84" s="25">
        <v>3</v>
      </c>
    </row>
    <row r="85" spans="1:15" x14ac:dyDescent="0.2">
      <c r="H85" s="25">
        <v>4</v>
      </c>
      <c r="I85" s="25">
        <v>18</v>
      </c>
      <c r="J85" s="25">
        <v>18</v>
      </c>
      <c r="K85" s="25">
        <v>4</v>
      </c>
    </row>
    <row r="86" spans="1:15" x14ac:dyDescent="0.2">
      <c r="H86" s="25">
        <v>5</v>
      </c>
      <c r="I86" s="25">
        <v>23</v>
      </c>
      <c r="J86" s="25">
        <v>34</v>
      </c>
      <c r="K86" s="25">
        <v>5</v>
      </c>
    </row>
    <row r="87" spans="1:15" x14ac:dyDescent="0.2">
      <c r="H87" s="25">
        <v>22</v>
      </c>
      <c r="I87" s="25">
        <v>14</v>
      </c>
      <c r="J87" s="25">
        <v>57</v>
      </c>
      <c r="K87" s="25">
        <v>6</v>
      </c>
    </row>
    <row r="88" spans="1:15" x14ac:dyDescent="0.2">
      <c r="H88" s="25">
        <v>17</v>
      </c>
      <c r="I88" s="25">
        <v>4</v>
      </c>
      <c r="J88" s="25">
        <v>17</v>
      </c>
      <c r="K88" s="25">
        <v>7</v>
      </c>
    </row>
    <row r="89" spans="1:15" x14ac:dyDescent="0.2">
      <c r="G89" s="26" t="str">
        <f>TEXT(SUM(H82:H89)/24+SUM(I82:I89)/1440+SUM(J82:J89)/86400,"[h]:m:s")</f>
        <v>174:31:40</v>
      </c>
      <c r="H89" s="25">
        <v>6</v>
      </c>
      <c r="I89" s="25">
        <v>56</v>
      </c>
      <c r="J89" s="25">
        <v>56</v>
      </c>
      <c r="K89" s="25">
        <v>8</v>
      </c>
    </row>
    <row r="90" spans="1:15" x14ac:dyDescent="0.2">
      <c r="H90" s="25">
        <v>10</v>
      </c>
      <c r="I90" s="25">
        <v>30</v>
      </c>
      <c r="J90" s="25">
        <v>6</v>
      </c>
      <c r="K90" s="25">
        <v>9</v>
      </c>
    </row>
    <row r="91" spans="1:15" x14ac:dyDescent="0.2">
      <c r="K91" s="25">
        <v>10</v>
      </c>
      <c r="M91" s="25">
        <v>79</v>
      </c>
      <c r="N91" s="25">
        <v>3</v>
      </c>
      <c r="O91" s="25">
        <v>38</v>
      </c>
    </row>
    <row r="92" spans="1:15" x14ac:dyDescent="0.2">
      <c r="H92" s="25">
        <v>4</v>
      </c>
      <c r="I92" s="25">
        <v>23</v>
      </c>
      <c r="J92" s="25">
        <v>29</v>
      </c>
      <c r="K92" s="25">
        <v>11</v>
      </c>
    </row>
    <row r="93" spans="1:15" x14ac:dyDescent="0.2">
      <c r="H93" s="25">
        <v>7</v>
      </c>
      <c r="I93" s="25">
        <v>32</v>
      </c>
      <c r="J93" s="25">
        <v>31</v>
      </c>
      <c r="K93" s="25">
        <v>12</v>
      </c>
    </row>
    <row r="94" spans="1:15" x14ac:dyDescent="0.2">
      <c r="H94" s="25">
        <v>3</v>
      </c>
      <c r="I94" s="25">
        <v>2</v>
      </c>
      <c r="J94" s="25">
        <v>48</v>
      </c>
      <c r="K94" s="25">
        <v>13</v>
      </c>
    </row>
    <row r="95" spans="1:15" x14ac:dyDescent="0.2">
      <c r="H95" s="25">
        <v>4</v>
      </c>
      <c r="I95" s="25">
        <v>57</v>
      </c>
      <c r="J95" s="25">
        <v>7</v>
      </c>
      <c r="K95" s="25">
        <v>14</v>
      </c>
    </row>
    <row r="96" spans="1:15" x14ac:dyDescent="0.2">
      <c r="H96" s="25">
        <v>7</v>
      </c>
      <c r="I96" s="25">
        <v>34</v>
      </c>
      <c r="J96" s="25">
        <v>27</v>
      </c>
      <c r="K96" s="25">
        <v>15</v>
      </c>
    </row>
    <row r="97" spans="7:15" x14ac:dyDescent="0.2">
      <c r="K97" s="45">
        <v>16</v>
      </c>
      <c r="M97" s="25">
        <v>8</v>
      </c>
      <c r="N97" s="25">
        <v>7</v>
      </c>
      <c r="O97" s="25">
        <v>22</v>
      </c>
    </row>
    <row r="98" spans="7:15" x14ac:dyDescent="0.2">
      <c r="H98" s="25">
        <v>28</v>
      </c>
      <c r="I98" s="25">
        <v>1</v>
      </c>
      <c r="J98" s="25">
        <v>5</v>
      </c>
      <c r="K98" s="46">
        <v>17</v>
      </c>
    </row>
    <row r="99" spans="7:15" x14ac:dyDescent="0.2">
      <c r="G99" s="26" t="str">
        <f>TEXT(SUM(H90:H99)/24+SUM(I90:I99)/1440+SUM(J90:J99)/86400,"[h]:m:s")</f>
        <v>82:32:17</v>
      </c>
      <c r="H99" s="25">
        <v>16</v>
      </c>
      <c r="I99" s="25">
        <v>30</v>
      </c>
      <c r="J99" s="25">
        <v>44</v>
      </c>
      <c r="K99" s="46">
        <v>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7672-DAE8-47CE-809E-69717AE44590}">
  <sheetPr codeName="Sheet1"/>
  <dimension ref="A1:F37"/>
  <sheetViews>
    <sheetView topLeftCell="A16" workbookViewId="0">
      <selection activeCell="A29" sqref="A29"/>
    </sheetView>
  </sheetViews>
  <sheetFormatPr defaultRowHeight="14.25" x14ac:dyDescent="0.2"/>
  <cols>
    <col min="1" max="1" width="28.75" bestFit="1" customWidth="1"/>
    <col min="2" max="2" width="12.375" bestFit="1" customWidth="1"/>
    <col min="3" max="3" width="12.5" bestFit="1" customWidth="1"/>
    <col min="4" max="4" width="8.625" bestFit="1" customWidth="1"/>
  </cols>
  <sheetData>
    <row r="1" spans="1:6" x14ac:dyDescent="0.2">
      <c r="A1" s="13" t="s">
        <v>35</v>
      </c>
      <c r="B1" s="14" t="s">
        <v>36</v>
      </c>
      <c r="C1" s="14" t="s">
        <v>37</v>
      </c>
      <c r="D1" s="15" t="s">
        <v>38</v>
      </c>
    </row>
    <row r="2" spans="1:6" x14ac:dyDescent="0.2">
      <c r="A2" s="16" t="s">
        <v>0</v>
      </c>
      <c r="B2" s="17">
        <v>13</v>
      </c>
      <c r="C2" s="17">
        <v>12</v>
      </c>
      <c r="D2" s="18">
        <v>1</v>
      </c>
    </row>
    <row r="3" spans="1:6" x14ac:dyDescent="0.2">
      <c r="A3" s="19" t="s">
        <v>1</v>
      </c>
      <c r="B3" s="20">
        <v>29</v>
      </c>
      <c r="C3" s="20">
        <v>9</v>
      </c>
      <c r="D3" s="21">
        <v>1</v>
      </c>
    </row>
    <row r="4" spans="1:6" x14ac:dyDescent="0.2">
      <c r="A4" s="16" t="s">
        <v>2</v>
      </c>
      <c r="B4" s="17">
        <v>36</v>
      </c>
      <c r="C4" s="17">
        <v>18</v>
      </c>
      <c r="D4" s="18">
        <v>1</v>
      </c>
    </row>
    <row r="5" spans="1:6" x14ac:dyDescent="0.2">
      <c r="A5" s="19" t="s">
        <v>3</v>
      </c>
      <c r="B5" s="20">
        <v>17</v>
      </c>
      <c r="C5" s="20">
        <v>23</v>
      </c>
      <c r="D5" s="21">
        <v>1</v>
      </c>
    </row>
    <row r="6" spans="1:6" x14ac:dyDescent="0.2">
      <c r="A6" s="16" t="s">
        <v>4</v>
      </c>
      <c r="B6" s="17">
        <v>51</v>
      </c>
      <c r="C6" s="17">
        <v>29</v>
      </c>
      <c r="D6" s="18">
        <v>2</v>
      </c>
    </row>
    <row r="7" spans="1:6" x14ac:dyDescent="0.2">
      <c r="A7" s="19" t="s">
        <v>31</v>
      </c>
      <c r="B7" s="20">
        <v>30</v>
      </c>
      <c r="C7" s="20">
        <v>10</v>
      </c>
      <c r="D7" s="21">
        <v>3</v>
      </c>
    </row>
    <row r="8" spans="1:6" x14ac:dyDescent="0.2">
      <c r="A8" s="16" t="s">
        <v>32</v>
      </c>
      <c r="B8" s="17">
        <v>48</v>
      </c>
      <c r="C8" s="17">
        <v>48</v>
      </c>
      <c r="D8" s="18">
        <v>4</v>
      </c>
      <c r="F8" t="str">
        <f>TEXT(SUM(B2:B8)/1440+SUM(C2:C8)/86400,"[h]:mm:ss")</f>
        <v>3:46:29</v>
      </c>
    </row>
    <row r="9" spans="1:6" x14ac:dyDescent="0.2">
      <c r="A9" s="19" t="s">
        <v>33</v>
      </c>
      <c r="B9" s="20">
        <v>22</v>
      </c>
      <c r="C9" s="20">
        <v>54</v>
      </c>
      <c r="D9" s="21">
        <v>5</v>
      </c>
    </row>
    <row r="10" spans="1:6" x14ac:dyDescent="0.2">
      <c r="A10" s="16" t="s">
        <v>34</v>
      </c>
      <c r="B10" s="17">
        <v>18</v>
      </c>
      <c r="C10" s="17">
        <v>0</v>
      </c>
      <c r="D10" s="18">
        <v>6</v>
      </c>
    </row>
    <row r="11" spans="1:6" x14ac:dyDescent="0.2">
      <c r="A11" s="19" t="s">
        <v>5</v>
      </c>
      <c r="B11" s="20">
        <v>54</v>
      </c>
      <c r="C11" s="20">
        <v>44</v>
      </c>
      <c r="D11" s="21">
        <v>7</v>
      </c>
    </row>
    <row r="12" spans="1:6" x14ac:dyDescent="0.2">
      <c r="A12" s="16" t="s">
        <v>6</v>
      </c>
      <c r="B12" s="17">
        <v>60</v>
      </c>
      <c r="C12" s="17">
        <v>6</v>
      </c>
      <c r="D12" s="18">
        <v>8</v>
      </c>
    </row>
    <row r="13" spans="1:6" x14ac:dyDescent="0.2">
      <c r="A13" s="19" t="s">
        <v>7</v>
      </c>
      <c r="B13" s="20">
        <v>27</v>
      </c>
      <c r="C13" s="20">
        <v>52</v>
      </c>
      <c r="D13" s="21">
        <v>9</v>
      </c>
    </row>
    <row r="14" spans="1:6" x14ac:dyDescent="0.2">
      <c r="A14" s="16" t="s">
        <v>8</v>
      </c>
      <c r="B14" s="17">
        <v>29</v>
      </c>
      <c r="C14" s="17">
        <v>47</v>
      </c>
      <c r="D14" s="18">
        <v>9</v>
      </c>
      <c r="F14" t="str">
        <f>TEXT(SUM(B9:B14)/1440+SUM(C9:C14)/86400,"[h]:mm:ss")</f>
        <v>3:33:23</v>
      </c>
    </row>
    <row r="15" spans="1:6" x14ac:dyDescent="0.2">
      <c r="A15" s="19" t="s">
        <v>9</v>
      </c>
      <c r="B15" s="20">
        <v>45</v>
      </c>
      <c r="C15" s="20">
        <v>4</v>
      </c>
      <c r="D15" s="21">
        <v>10</v>
      </c>
    </row>
    <row r="16" spans="1:6" x14ac:dyDescent="0.2">
      <c r="A16" s="16" t="s">
        <v>10</v>
      </c>
      <c r="B16" s="17">
        <v>17</v>
      </c>
      <c r="C16" s="17">
        <v>24</v>
      </c>
      <c r="D16" s="18">
        <v>10</v>
      </c>
    </row>
    <row r="17" spans="1:6" x14ac:dyDescent="0.2">
      <c r="A17" s="19" t="s">
        <v>11</v>
      </c>
      <c r="B17" s="20">
        <v>38</v>
      </c>
      <c r="C17" s="20">
        <v>39</v>
      </c>
      <c r="D17" s="21">
        <v>11</v>
      </c>
    </row>
    <row r="18" spans="1:6" x14ac:dyDescent="0.2">
      <c r="A18" s="16" t="s">
        <v>12</v>
      </c>
      <c r="B18" s="17">
        <v>50</v>
      </c>
      <c r="C18" s="17">
        <v>11</v>
      </c>
      <c r="D18" s="18">
        <v>12</v>
      </c>
    </row>
    <row r="19" spans="1:6" x14ac:dyDescent="0.2">
      <c r="A19" s="19" t="s">
        <v>13</v>
      </c>
      <c r="B19" s="20">
        <v>22</v>
      </c>
      <c r="C19" s="20">
        <v>46</v>
      </c>
      <c r="D19" s="21">
        <v>12</v>
      </c>
    </row>
    <row r="20" spans="1:6" x14ac:dyDescent="0.2">
      <c r="A20" s="16" t="s">
        <v>14</v>
      </c>
      <c r="B20" s="17">
        <v>51</v>
      </c>
      <c r="C20" s="17">
        <v>20</v>
      </c>
      <c r="D20" s="18">
        <v>13</v>
      </c>
      <c r="F20" t="str">
        <f>TEXT(SUM(B15:B20)/1440+SUM(C15:C20)/86400,"[h]:mm:ss")</f>
        <v>3:45:24</v>
      </c>
    </row>
    <row r="21" spans="1:6" x14ac:dyDescent="0.2">
      <c r="A21" s="19" t="s">
        <v>15</v>
      </c>
      <c r="B21" s="20">
        <v>19</v>
      </c>
      <c r="C21" s="20">
        <v>35</v>
      </c>
      <c r="D21" s="21">
        <v>14</v>
      </c>
    </row>
    <row r="22" spans="1:6" x14ac:dyDescent="0.2">
      <c r="A22" s="16" t="s">
        <v>16</v>
      </c>
      <c r="B22" s="17">
        <v>40</v>
      </c>
      <c r="C22" s="17">
        <v>12</v>
      </c>
      <c r="D22" s="18">
        <v>14</v>
      </c>
    </row>
    <row r="23" spans="1:6" x14ac:dyDescent="0.2">
      <c r="A23" s="19" t="s">
        <v>17</v>
      </c>
      <c r="B23" s="20">
        <v>48</v>
      </c>
      <c r="C23" s="20">
        <v>54</v>
      </c>
      <c r="D23" s="21">
        <v>15</v>
      </c>
    </row>
    <row r="24" spans="1:6" x14ac:dyDescent="0.2">
      <c r="A24" s="16" t="s">
        <v>18</v>
      </c>
      <c r="B24" s="17">
        <v>40</v>
      </c>
      <c r="C24" s="17">
        <v>6</v>
      </c>
      <c r="D24" s="18">
        <v>16</v>
      </c>
    </row>
    <row r="25" spans="1:6" x14ac:dyDescent="0.2">
      <c r="A25" s="19" t="s">
        <v>19</v>
      </c>
      <c r="B25" s="20">
        <v>85</v>
      </c>
      <c r="C25" s="20">
        <v>11</v>
      </c>
      <c r="D25" s="21">
        <v>17</v>
      </c>
      <c r="F25" t="str">
        <f>TEXT(SUM(B21:B25)/1440+SUM(C21:C25)/86400,"[h]:mm:ss")</f>
        <v>3:53:58</v>
      </c>
    </row>
    <row r="26" spans="1:6" x14ac:dyDescent="0.2">
      <c r="A26" s="16" t="s">
        <v>20</v>
      </c>
      <c r="B26" s="17">
        <v>69</v>
      </c>
      <c r="C26" s="17">
        <v>38</v>
      </c>
      <c r="D26" s="18">
        <v>18</v>
      </c>
    </row>
    <row r="27" spans="1:6" x14ac:dyDescent="0.2">
      <c r="A27" s="19" t="s">
        <v>21</v>
      </c>
      <c r="B27" s="20">
        <v>38</v>
      </c>
      <c r="C27" s="20">
        <v>24</v>
      </c>
      <c r="D27" s="21">
        <v>19</v>
      </c>
    </row>
    <row r="28" spans="1:6" x14ac:dyDescent="0.2">
      <c r="A28" s="16" t="s">
        <v>22</v>
      </c>
      <c r="B28" s="17">
        <v>45</v>
      </c>
      <c r="C28" s="17">
        <v>12</v>
      </c>
      <c r="D28" s="18">
        <v>19</v>
      </c>
    </row>
    <row r="29" spans="1:6" x14ac:dyDescent="0.2">
      <c r="A29" s="19" t="s">
        <v>23</v>
      </c>
      <c r="B29" s="20">
        <v>27</v>
      </c>
      <c r="C29" s="20">
        <v>56</v>
      </c>
      <c r="D29" s="21">
        <v>20</v>
      </c>
    </row>
    <row r="30" spans="1:6" x14ac:dyDescent="0.2">
      <c r="A30" s="16" t="s">
        <v>24</v>
      </c>
      <c r="B30" s="17">
        <v>52</v>
      </c>
      <c r="C30" s="17">
        <v>48</v>
      </c>
      <c r="D30" s="18">
        <v>20</v>
      </c>
    </row>
    <row r="31" spans="1:6" x14ac:dyDescent="0.2">
      <c r="A31" s="19" t="s">
        <v>25</v>
      </c>
      <c r="B31" s="20">
        <v>14</v>
      </c>
      <c r="C31" s="20">
        <v>4</v>
      </c>
      <c r="D31" s="21">
        <v>21</v>
      </c>
    </row>
    <row r="32" spans="1:6" x14ac:dyDescent="0.2">
      <c r="A32" s="16" t="s">
        <v>26</v>
      </c>
      <c r="B32" s="17">
        <v>25</v>
      </c>
      <c r="C32" s="17">
        <v>42</v>
      </c>
      <c r="D32" s="18">
        <v>21</v>
      </c>
      <c r="F32" t="str">
        <f>TEXT(SUM(B26:B31)/1440+SUM(C26:C31)/86400,"[h]:mm:ss")</f>
        <v>4:08:02</v>
      </c>
    </row>
    <row r="33" spans="1:6" x14ac:dyDescent="0.2">
      <c r="A33" s="19" t="s">
        <v>27</v>
      </c>
      <c r="B33" s="20">
        <v>56</v>
      </c>
      <c r="C33" s="20">
        <v>33</v>
      </c>
      <c r="D33" s="21">
        <v>22</v>
      </c>
    </row>
    <row r="34" spans="1:6" x14ac:dyDescent="0.2">
      <c r="A34" s="16" t="s">
        <v>28</v>
      </c>
      <c r="B34" s="17">
        <v>37</v>
      </c>
      <c r="C34" s="17">
        <v>31</v>
      </c>
      <c r="D34" s="18">
        <v>23</v>
      </c>
    </row>
    <row r="35" spans="1:6" x14ac:dyDescent="0.2">
      <c r="A35" s="19" t="s">
        <v>29</v>
      </c>
      <c r="B35" s="20">
        <v>43</v>
      </c>
      <c r="C35" s="20">
        <v>34</v>
      </c>
      <c r="D35" s="21">
        <v>24</v>
      </c>
    </row>
    <row r="36" spans="1:6" x14ac:dyDescent="0.2">
      <c r="A36" s="4" t="s">
        <v>30</v>
      </c>
      <c r="B36" s="5">
        <v>24</v>
      </c>
      <c r="C36" s="5">
        <v>21</v>
      </c>
      <c r="D36" s="22">
        <v>24</v>
      </c>
      <c r="F36" t="str">
        <f>TEXT(SUM(B33:B36)/1440+SUM(C33:C36)/86400,"[h]:mm:ss")</f>
        <v>2:41:59</v>
      </c>
    </row>
    <row r="37" spans="1:6" x14ac:dyDescent="0.2">
      <c r="A37" s="12" t="str">
        <f>"总时长："&amp;TEXT(SUM(B:B)/1440+SUM(C:C)/86400,"[h]:mm:ss")</f>
        <v>总时长：22:14:57</v>
      </c>
      <c r="B37" s="1"/>
      <c r="C37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1734-82E6-410A-99C1-87D067456163}">
  <sheetPr codeName="Sheet2"/>
  <dimension ref="A1:D30"/>
  <sheetViews>
    <sheetView topLeftCell="A10" workbookViewId="0">
      <selection activeCell="D30" sqref="D30"/>
    </sheetView>
  </sheetViews>
  <sheetFormatPr defaultRowHeight="14.25" x14ac:dyDescent="0.2"/>
  <cols>
    <col min="1" max="1" width="33" bestFit="1" customWidth="1"/>
    <col min="2" max="2" width="12.375" bestFit="1" customWidth="1"/>
    <col min="3" max="3" width="12.5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53</v>
      </c>
    </row>
    <row r="2" spans="1:4" x14ac:dyDescent="0.2">
      <c r="A2" s="47" t="s">
        <v>39</v>
      </c>
      <c r="B2" s="48">
        <v>3</v>
      </c>
      <c r="C2" s="48">
        <v>38</v>
      </c>
      <c r="D2" s="49">
        <v>1</v>
      </c>
    </row>
    <row r="3" spans="1:4" x14ac:dyDescent="0.2">
      <c r="A3" s="50" t="s">
        <v>39</v>
      </c>
      <c r="B3" s="51">
        <v>40</v>
      </c>
      <c r="C3" s="51">
        <v>47</v>
      </c>
      <c r="D3" s="52">
        <v>1</v>
      </c>
    </row>
    <row r="4" spans="1:4" x14ac:dyDescent="0.2">
      <c r="A4" s="47" t="s">
        <v>40</v>
      </c>
      <c r="B4" s="48">
        <v>32</v>
      </c>
      <c r="C4" s="48">
        <v>41</v>
      </c>
      <c r="D4" s="49">
        <v>2</v>
      </c>
    </row>
    <row r="5" spans="1:4" x14ac:dyDescent="0.2">
      <c r="A5" s="50" t="s">
        <v>40</v>
      </c>
      <c r="B5" s="51">
        <v>34</v>
      </c>
      <c r="C5" s="51">
        <v>35</v>
      </c>
      <c r="D5" s="52">
        <v>2</v>
      </c>
    </row>
    <row r="6" spans="1:4" x14ac:dyDescent="0.2">
      <c r="A6" s="47" t="s">
        <v>41</v>
      </c>
      <c r="B6" s="48">
        <v>4</v>
      </c>
      <c r="C6" s="48">
        <v>0</v>
      </c>
      <c r="D6" s="49">
        <v>3</v>
      </c>
    </row>
    <row r="7" spans="1:4" x14ac:dyDescent="0.2">
      <c r="A7" s="50" t="s">
        <v>41</v>
      </c>
      <c r="B7" s="51">
        <v>57</v>
      </c>
      <c r="C7" s="51">
        <v>37</v>
      </c>
      <c r="D7" s="52">
        <v>3</v>
      </c>
    </row>
    <row r="8" spans="1:4" x14ac:dyDescent="0.2">
      <c r="A8" s="47" t="s">
        <v>42</v>
      </c>
      <c r="B8" s="48">
        <v>2</v>
      </c>
      <c r="C8" s="48">
        <v>9</v>
      </c>
      <c r="D8" s="49">
        <v>4</v>
      </c>
    </row>
    <row r="9" spans="1:4" x14ac:dyDescent="0.2">
      <c r="A9" s="50" t="s">
        <v>42</v>
      </c>
      <c r="B9" s="51">
        <v>44</v>
      </c>
      <c r="C9" s="51">
        <v>51</v>
      </c>
      <c r="D9" s="52">
        <v>4</v>
      </c>
    </row>
    <row r="10" spans="1:4" x14ac:dyDescent="0.2">
      <c r="A10" s="47" t="s">
        <v>43</v>
      </c>
      <c r="B10" s="48">
        <v>3</v>
      </c>
      <c r="C10" s="48">
        <v>29</v>
      </c>
      <c r="D10" s="49">
        <v>5</v>
      </c>
    </row>
    <row r="11" spans="1:4" x14ac:dyDescent="0.2">
      <c r="A11" s="50" t="s">
        <v>43</v>
      </c>
      <c r="B11" s="51">
        <v>64</v>
      </c>
      <c r="C11" s="51">
        <v>5</v>
      </c>
      <c r="D11" s="52">
        <v>5</v>
      </c>
    </row>
    <row r="12" spans="1:4" x14ac:dyDescent="0.2">
      <c r="A12" s="47" t="s">
        <v>44</v>
      </c>
      <c r="B12" s="48">
        <v>2</v>
      </c>
      <c r="C12" s="48">
        <v>16</v>
      </c>
      <c r="D12" s="49">
        <v>6</v>
      </c>
    </row>
    <row r="13" spans="1:4" x14ac:dyDescent="0.2">
      <c r="A13" s="50" t="s">
        <v>44</v>
      </c>
      <c r="B13" s="51">
        <v>59</v>
      </c>
      <c r="C13" s="51">
        <v>15</v>
      </c>
      <c r="D13" s="52">
        <v>6</v>
      </c>
    </row>
    <row r="14" spans="1:4" x14ac:dyDescent="0.2">
      <c r="A14" s="47" t="s">
        <v>45</v>
      </c>
      <c r="B14" s="48">
        <v>7</v>
      </c>
      <c r="C14" s="48">
        <v>40</v>
      </c>
      <c r="D14" s="49">
        <v>7</v>
      </c>
    </row>
    <row r="15" spans="1:4" x14ac:dyDescent="0.2">
      <c r="A15" s="50" t="s">
        <v>45</v>
      </c>
      <c r="B15" s="51">
        <v>95</v>
      </c>
      <c r="C15" s="51">
        <v>44</v>
      </c>
      <c r="D15" s="52">
        <v>7</v>
      </c>
    </row>
    <row r="16" spans="1:4" x14ac:dyDescent="0.2">
      <c r="A16" s="47" t="s">
        <v>46</v>
      </c>
      <c r="B16" s="48">
        <v>15</v>
      </c>
      <c r="C16" s="48">
        <v>23</v>
      </c>
      <c r="D16" s="49">
        <v>8</v>
      </c>
    </row>
    <row r="17" spans="1:4" x14ac:dyDescent="0.2">
      <c r="A17" s="50" t="s">
        <v>46</v>
      </c>
      <c r="B17" s="51">
        <v>36</v>
      </c>
      <c r="C17" s="51">
        <v>10</v>
      </c>
      <c r="D17" s="52">
        <v>8</v>
      </c>
    </row>
    <row r="18" spans="1:4" x14ac:dyDescent="0.2">
      <c r="A18" s="47" t="s">
        <v>47</v>
      </c>
      <c r="B18" s="48">
        <v>27</v>
      </c>
      <c r="C18" s="48">
        <v>53</v>
      </c>
      <c r="D18" s="49">
        <v>9</v>
      </c>
    </row>
    <row r="19" spans="1:4" x14ac:dyDescent="0.2">
      <c r="A19" s="50" t="s">
        <v>47</v>
      </c>
      <c r="B19" s="51">
        <v>78</v>
      </c>
      <c r="C19" s="51">
        <v>51</v>
      </c>
      <c r="D19" s="52">
        <v>9</v>
      </c>
    </row>
    <row r="20" spans="1:4" x14ac:dyDescent="0.2">
      <c r="A20" s="47" t="s">
        <v>48</v>
      </c>
      <c r="B20" s="48">
        <v>18</v>
      </c>
      <c r="C20" s="48">
        <v>50</v>
      </c>
      <c r="D20" s="49">
        <v>10</v>
      </c>
    </row>
    <row r="21" spans="1:4" x14ac:dyDescent="0.2">
      <c r="A21" s="50" t="s">
        <v>48</v>
      </c>
      <c r="B21" s="51">
        <v>53</v>
      </c>
      <c r="C21" s="51">
        <v>2</v>
      </c>
      <c r="D21" s="52">
        <v>10</v>
      </c>
    </row>
    <row r="22" spans="1:4" x14ac:dyDescent="0.2">
      <c r="A22" s="47" t="s">
        <v>49</v>
      </c>
      <c r="B22" s="48">
        <v>15</v>
      </c>
      <c r="C22" s="48">
        <v>43</v>
      </c>
      <c r="D22" s="49">
        <v>11</v>
      </c>
    </row>
    <row r="23" spans="1:4" x14ac:dyDescent="0.2">
      <c r="A23" s="50" t="s">
        <v>49</v>
      </c>
      <c r="B23" s="51">
        <v>52</v>
      </c>
      <c r="C23" s="51">
        <v>38</v>
      </c>
      <c r="D23" s="52">
        <v>11</v>
      </c>
    </row>
    <row r="24" spans="1:4" x14ac:dyDescent="0.2">
      <c r="A24" s="47" t="s">
        <v>50</v>
      </c>
      <c r="B24" s="48">
        <v>9</v>
      </c>
      <c r="C24" s="48">
        <v>48</v>
      </c>
      <c r="D24" s="49">
        <v>12</v>
      </c>
    </row>
    <row r="25" spans="1:4" x14ac:dyDescent="0.2">
      <c r="A25" s="50" t="s">
        <v>50</v>
      </c>
      <c r="B25" s="51">
        <v>76</v>
      </c>
      <c r="C25" s="51">
        <v>39</v>
      </c>
      <c r="D25" s="52">
        <v>12</v>
      </c>
    </row>
    <row r="26" spans="1:4" x14ac:dyDescent="0.2">
      <c r="A26" s="47" t="s">
        <v>51</v>
      </c>
      <c r="B26" s="48">
        <v>36</v>
      </c>
      <c r="C26" s="48">
        <v>18</v>
      </c>
      <c r="D26" s="49">
        <v>13</v>
      </c>
    </row>
    <row r="27" spans="1:4" x14ac:dyDescent="0.2">
      <c r="A27" s="50" t="s">
        <v>51</v>
      </c>
      <c r="B27" s="51">
        <v>51</v>
      </c>
      <c r="C27" s="51">
        <v>58</v>
      </c>
      <c r="D27" s="52">
        <v>13</v>
      </c>
    </row>
    <row r="28" spans="1:4" x14ac:dyDescent="0.2">
      <c r="A28" s="47" t="s">
        <v>52</v>
      </c>
      <c r="B28" s="48">
        <v>22</v>
      </c>
      <c r="C28" s="48">
        <v>56</v>
      </c>
      <c r="D28" s="49">
        <v>14</v>
      </c>
    </row>
    <row r="29" spans="1:4" x14ac:dyDescent="0.2">
      <c r="A29" s="53" t="s">
        <v>52</v>
      </c>
      <c r="B29" s="54">
        <v>75</v>
      </c>
      <c r="C29" s="54">
        <v>21</v>
      </c>
      <c r="D29" s="55">
        <v>14</v>
      </c>
    </row>
    <row r="30" spans="1:4" x14ac:dyDescent="0.2">
      <c r="A30" s="76" t="str">
        <f>"总时长："&amp;TEXT(SUM(B:B)/1440+SUM(C:C)/86400,"[h]:mm:ss")</f>
        <v>总时长：17:04:17</v>
      </c>
      <c r="B30" s="3"/>
      <c r="C3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E1BE-FCFE-4251-B0EC-E291DDB8C47B}">
  <sheetPr codeName="Sheet8"/>
  <dimension ref="A1:D10"/>
  <sheetViews>
    <sheetView workbookViewId="0">
      <selection activeCell="D10" sqref="D10"/>
    </sheetView>
  </sheetViews>
  <sheetFormatPr defaultRowHeight="14.25" x14ac:dyDescent="0.2"/>
  <cols>
    <col min="1" max="1" width="17.75" customWidth="1"/>
    <col min="2" max="2" width="12.375" bestFit="1" customWidth="1"/>
    <col min="3" max="3" width="12.5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53</v>
      </c>
    </row>
    <row r="2" spans="1:4" x14ac:dyDescent="0.2">
      <c r="A2" s="47" t="s">
        <v>54</v>
      </c>
      <c r="B2" s="48">
        <v>58</v>
      </c>
      <c r="C2" s="48">
        <v>14</v>
      </c>
      <c r="D2" s="49">
        <v>1</v>
      </c>
    </row>
    <row r="3" spans="1:4" x14ac:dyDescent="0.2">
      <c r="A3" s="50" t="s">
        <v>55</v>
      </c>
      <c r="B3" s="51">
        <v>56</v>
      </c>
      <c r="C3" s="51">
        <v>1</v>
      </c>
      <c r="D3" s="52">
        <v>1</v>
      </c>
    </row>
    <row r="4" spans="1:4" x14ac:dyDescent="0.2">
      <c r="A4" s="47" t="s">
        <v>56</v>
      </c>
      <c r="B4" s="48">
        <v>67</v>
      </c>
      <c r="C4" s="48">
        <v>55</v>
      </c>
      <c r="D4" s="49">
        <v>2</v>
      </c>
    </row>
    <row r="5" spans="1:4" x14ac:dyDescent="0.2">
      <c r="A5" s="50" t="s">
        <v>57</v>
      </c>
      <c r="B5" s="51">
        <v>49</v>
      </c>
      <c r="C5" s="51">
        <v>2</v>
      </c>
      <c r="D5" s="52">
        <v>2</v>
      </c>
    </row>
    <row r="6" spans="1:4" x14ac:dyDescent="0.2">
      <c r="A6" s="47" t="s">
        <v>58</v>
      </c>
      <c r="B6" s="48">
        <v>63</v>
      </c>
      <c r="C6" s="48">
        <v>8</v>
      </c>
      <c r="D6" s="49">
        <v>3</v>
      </c>
    </row>
    <row r="7" spans="1:4" x14ac:dyDescent="0.2">
      <c r="A7" s="56" t="s">
        <v>59</v>
      </c>
      <c r="B7" s="51">
        <v>30</v>
      </c>
      <c r="C7" s="51">
        <v>54</v>
      </c>
      <c r="D7" s="52">
        <v>4</v>
      </c>
    </row>
    <row r="8" spans="1:4" x14ac:dyDescent="0.2">
      <c r="A8" s="47" t="s">
        <v>60</v>
      </c>
      <c r="B8" s="48">
        <v>38</v>
      </c>
      <c r="C8" s="48">
        <v>49</v>
      </c>
      <c r="D8" s="49">
        <v>4</v>
      </c>
    </row>
    <row r="9" spans="1:4" x14ac:dyDescent="0.2">
      <c r="A9" s="54" t="s">
        <v>61</v>
      </c>
      <c r="B9" s="54">
        <v>52</v>
      </c>
      <c r="C9" s="54">
        <v>53</v>
      </c>
      <c r="D9" s="55">
        <v>5</v>
      </c>
    </row>
    <row r="10" spans="1:4" x14ac:dyDescent="0.2">
      <c r="A10" s="77" t="str">
        <f>"总时长："&amp;TEXT(SUM(B:B)/1440+SUM(C:C)/86400,"[h]:mm:ss")</f>
        <v>总时长：6:56:56</v>
      </c>
      <c r="B10" s="8"/>
      <c r="C10" s="8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C606-BCBF-4838-A963-4BC4664217AA}">
  <sheetPr codeName="Sheet9"/>
  <dimension ref="A1:D12"/>
  <sheetViews>
    <sheetView workbookViewId="0">
      <selection activeCell="D12" sqref="D12"/>
    </sheetView>
  </sheetViews>
  <sheetFormatPr defaultRowHeight="14.25" x14ac:dyDescent="0.2"/>
  <cols>
    <col min="1" max="1" width="21.375" bestFit="1" customWidth="1"/>
    <col min="2" max="2" width="12.375" bestFit="1" customWidth="1"/>
    <col min="3" max="3" width="12.5" bestFit="1" customWidth="1"/>
    <col min="4" max="4" width="8.875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53</v>
      </c>
    </row>
    <row r="2" spans="1:4" x14ac:dyDescent="0.2">
      <c r="A2" s="16" t="s">
        <v>62</v>
      </c>
      <c r="B2" s="48">
        <v>34</v>
      </c>
      <c r="C2" s="48">
        <v>57</v>
      </c>
      <c r="D2" s="49">
        <v>1</v>
      </c>
    </row>
    <row r="3" spans="1:4" x14ac:dyDescent="0.2">
      <c r="A3" s="19" t="s">
        <v>63</v>
      </c>
      <c r="B3" s="51">
        <v>60</v>
      </c>
      <c r="C3" s="51">
        <v>4</v>
      </c>
      <c r="D3" s="52">
        <v>1</v>
      </c>
    </row>
    <row r="4" spans="1:4" x14ac:dyDescent="0.2">
      <c r="A4" s="16" t="s">
        <v>64</v>
      </c>
      <c r="B4" s="48">
        <v>67</v>
      </c>
      <c r="C4" s="48">
        <v>25</v>
      </c>
      <c r="D4" s="49">
        <v>2</v>
      </c>
    </row>
    <row r="5" spans="1:4" x14ac:dyDescent="0.2">
      <c r="A5" s="19" t="s">
        <v>65</v>
      </c>
      <c r="B5" s="51">
        <v>79</v>
      </c>
      <c r="C5" s="51">
        <v>22</v>
      </c>
      <c r="D5" s="52">
        <v>2</v>
      </c>
    </row>
    <row r="6" spans="1:4" x14ac:dyDescent="0.2">
      <c r="A6" s="16" t="s">
        <v>66</v>
      </c>
      <c r="B6" s="48">
        <v>108</v>
      </c>
      <c r="C6" s="48">
        <v>28</v>
      </c>
      <c r="D6" s="49">
        <v>3</v>
      </c>
    </row>
    <row r="7" spans="1:4" x14ac:dyDescent="0.2">
      <c r="A7" s="19" t="s">
        <v>67</v>
      </c>
      <c r="B7" s="51">
        <v>71</v>
      </c>
      <c r="C7" s="51">
        <v>22</v>
      </c>
      <c r="D7" s="52">
        <v>4</v>
      </c>
    </row>
    <row r="8" spans="1:4" x14ac:dyDescent="0.2">
      <c r="A8" s="16" t="s">
        <v>68</v>
      </c>
      <c r="B8" s="48">
        <v>63</v>
      </c>
      <c r="C8" s="48">
        <v>25</v>
      </c>
      <c r="D8" s="49">
        <v>5</v>
      </c>
    </row>
    <row r="9" spans="1:4" x14ac:dyDescent="0.2">
      <c r="A9" s="19" t="s">
        <v>69</v>
      </c>
      <c r="B9" s="51">
        <v>45</v>
      </c>
      <c r="C9" s="51">
        <v>56</v>
      </c>
      <c r="D9" s="52">
        <v>6</v>
      </c>
    </row>
    <row r="10" spans="1:4" x14ac:dyDescent="0.2">
      <c r="A10" s="16" t="s">
        <v>70</v>
      </c>
      <c r="B10" s="48">
        <v>38</v>
      </c>
      <c r="C10" s="48">
        <v>7</v>
      </c>
      <c r="D10" s="49">
        <v>6</v>
      </c>
    </row>
    <row r="11" spans="1:4" x14ac:dyDescent="0.2">
      <c r="A11" s="6" t="s">
        <v>71</v>
      </c>
      <c r="B11" s="54">
        <v>61</v>
      </c>
      <c r="C11" s="54">
        <v>0</v>
      </c>
      <c r="D11" s="55">
        <v>7</v>
      </c>
    </row>
    <row r="12" spans="1:4" x14ac:dyDescent="0.2">
      <c r="A12" s="9" t="str">
        <f>"总时长："&amp;TEXT(SUM(B:B)/1440+SUM(C:C)/86400,"[h]:mm:ss")</f>
        <v>总时长：10:30:06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D0F8-0D2C-49A2-997C-DACB9B26CA76}">
  <sheetPr codeName="Sheet11"/>
  <dimension ref="A1:D5"/>
  <sheetViews>
    <sheetView workbookViewId="0">
      <selection activeCell="D5" sqref="D5"/>
    </sheetView>
  </sheetViews>
  <sheetFormatPr defaultRowHeight="14.25" x14ac:dyDescent="0.2"/>
  <cols>
    <col min="1" max="1" width="24.5" bestFit="1" customWidth="1"/>
    <col min="2" max="2" width="12.375" bestFit="1" customWidth="1"/>
    <col min="3" max="3" width="12.5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53</v>
      </c>
    </row>
    <row r="2" spans="1:4" x14ac:dyDescent="0.2">
      <c r="A2" s="16" t="s">
        <v>72</v>
      </c>
      <c r="B2" s="17">
        <v>58</v>
      </c>
      <c r="C2" s="17">
        <v>0</v>
      </c>
      <c r="D2" s="18">
        <v>1</v>
      </c>
    </row>
    <row r="3" spans="1:4" x14ac:dyDescent="0.2">
      <c r="A3" s="19" t="s">
        <v>73</v>
      </c>
      <c r="B3" s="20">
        <v>93</v>
      </c>
      <c r="C3" s="20">
        <v>56</v>
      </c>
      <c r="D3" s="21">
        <v>2</v>
      </c>
    </row>
    <row r="4" spans="1:4" x14ac:dyDescent="0.2">
      <c r="A4" s="4" t="s">
        <v>74</v>
      </c>
      <c r="B4" s="5">
        <v>111</v>
      </c>
      <c r="C4" s="5">
        <v>33</v>
      </c>
      <c r="D4" s="22">
        <v>3</v>
      </c>
    </row>
    <row r="5" spans="1:4" x14ac:dyDescent="0.2">
      <c r="A5" s="10" t="str">
        <f>"总时长："&amp;TEXT(SUM(B:B)/1440+SUM(C:C)/86400,"[h]:mm:ss")</f>
        <v>总时长：4:23:29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4DB1-3E3A-4CF5-BB6A-F387BAED2E70}">
  <sheetPr codeName="Sheet10"/>
  <dimension ref="A1:H114"/>
  <sheetViews>
    <sheetView workbookViewId="0">
      <selection activeCell="D3" sqref="D3"/>
    </sheetView>
  </sheetViews>
  <sheetFormatPr defaultRowHeight="14.25" x14ac:dyDescent="0.2"/>
  <cols>
    <col min="1" max="1" width="35" customWidth="1"/>
  </cols>
  <sheetData>
    <row r="1" spans="1:8" ht="19.5" x14ac:dyDescent="0.2">
      <c r="A1" s="13" t="s">
        <v>35</v>
      </c>
      <c r="B1" s="14" t="s">
        <v>36</v>
      </c>
      <c r="C1" s="14" t="s">
        <v>37</v>
      </c>
      <c r="D1" s="15" t="s">
        <v>53</v>
      </c>
      <c r="H1" s="31" t="s">
        <v>387</v>
      </c>
    </row>
    <row r="2" spans="1:8" x14ac:dyDescent="0.2">
      <c r="A2" s="32" t="s">
        <v>388</v>
      </c>
      <c r="D2" s="91" t="str">
        <f t="shared" ref="D2:D33" si="0">IF(ISBLANK(C2),"",B2/1440+C2/86400)</f>
        <v/>
      </c>
    </row>
    <row r="3" spans="1:8" x14ac:dyDescent="0.2">
      <c r="A3" t="s">
        <v>88</v>
      </c>
      <c r="B3">
        <v>40</v>
      </c>
      <c r="C3">
        <v>27</v>
      </c>
      <c r="D3" s="91">
        <f t="shared" si="0"/>
        <v>2.8090277777777777E-2</v>
      </c>
    </row>
    <row r="4" spans="1:8" x14ac:dyDescent="0.2">
      <c r="A4" t="s">
        <v>389</v>
      </c>
      <c r="B4">
        <v>81</v>
      </c>
      <c r="C4">
        <v>3</v>
      </c>
      <c r="D4" s="91">
        <f t="shared" si="0"/>
        <v>5.6284722222222222E-2</v>
      </c>
    </row>
    <row r="5" spans="1:8" x14ac:dyDescent="0.2">
      <c r="A5" t="s">
        <v>390</v>
      </c>
      <c r="B5">
        <v>14</v>
      </c>
      <c r="C5">
        <v>52</v>
      </c>
      <c r="D5" s="91">
        <f t="shared" si="0"/>
        <v>1.0324074074074074E-2</v>
      </c>
    </row>
    <row r="6" spans="1:8" x14ac:dyDescent="0.2">
      <c r="A6" s="32" t="s">
        <v>391</v>
      </c>
      <c r="D6" s="91" t="str">
        <f t="shared" si="0"/>
        <v/>
      </c>
    </row>
    <row r="7" spans="1:8" x14ac:dyDescent="0.2">
      <c r="A7" t="s">
        <v>392</v>
      </c>
      <c r="B7">
        <v>40</v>
      </c>
      <c r="C7">
        <v>11</v>
      </c>
      <c r="D7" s="91">
        <f t="shared" si="0"/>
        <v>2.7905092592592592E-2</v>
      </c>
    </row>
    <row r="8" spans="1:8" x14ac:dyDescent="0.2">
      <c r="A8" t="s">
        <v>393</v>
      </c>
      <c r="B8">
        <v>65</v>
      </c>
      <c r="C8">
        <v>45</v>
      </c>
      <c r="D8" s="91">
        <f t="shared" si="0"/>
        <v>4.565972222222222E-2</v>
      </c>
    </row>
    <row r="9" spans="1:8" x14ac:dyDescent="0.2">
      <c r="A9" t="s">
        <v>394</v>
      </c>
      <c r="B9">
        <v>52</v>
      </c>
      <c r="C9">
        <v>9</v>
      </c>
      <c r="D9" s="91">
        <f t="shared" si="0"/>
        <v>3.6215277777777777E-2</v>
      </c>
    </row>
    <row r="10" spans="1:8" x14ac:dyDescent="0.2">
      <c r="A10" t="s">
        <v>395</v>
      </c>
      <c r="B10">
        <v>85</v>
      </c>
      <c r="C10">
        <v>40</v>
      </c>
      <c r="D10" s="91">
        <f t="shared" si="0"/>
        <v>5.949074074074074E-2</v>
      </c>
    </row>
    <row r="11" spans="1:8" x14ac:dyDescent="0.2">
      <c r="A11" t="s">
        <v>396</v>
      </c>
      <c r="B11">
        <v>69</v>
      </c>
      <c r="C11">
        <v>23</v>
      </c>
      <c r="D11" s="91">
        <f t="shared" si="0"/>
        <v>4.8182870370370376E-2</v>
      </c>
    </row>
    <row r="12" spans="1:8" x14ac:dyDescent="0.2">
      <c r="A12" s="32" t="s">
        <v>397</v>
      </c>
      <c r="D12" s="91" t="str">
        <f t="shared" si="0"/>
        <v/>
      </c>
    </row>
    <row r="13" spans="1:8" x14ac:dyDescent="0.2">
      <c r="A13" t="s">
        <v>398</v>
      </c>
      <c r="B13">
        <v>37</v>
      </c>
      <c r="C13">
        <v>9</v>
      </c>
      <c r="D13" s="91">
        <f t="shared" si="0"/>
        <v>2.5798611111111109E-2</v>
      </c>
    </row>
    <row r="14" spans="1:8" x14ac:dyDescent="0.2">
      <c r="A14" t="s">
        <v>399</v>
      </c>
      <c r="B14">
        <v>58</v>
      </c>
      <c r="C14">
        <v>1</v>
      </c>
      <c r="D14" s="91">
        <f t="shared" si="0"/>
        <v>4.0289351851851854E-2</v>
      </c>
    </row>
    <row r="15" spans="1:8" x14ac:dyDescent="0.2">
      <c r="A15" t="s">
        <v>400</v>
      </c>
      <c r="B15">
        <v>9</v>
      </c>
      <c r="C15">
        <v>17</v>
      </c>
      <c r="D15" s="91">
        <f t="shared" si="0"/>
        <v>6.4467592592592597E-3</v>
      </c>
    </row>
    <row r="16" spans="1:8" x14ac:dyDescent="0.2">
      <c r="A16" t="s">
        <v>401</v>
      </c>
      <c r="B16">
        <v>45</v>
      </c>
      <c r="C16">
        <v>18</v>
      </c>
      <c r="D16" s="91">
        <f t="shared" si="0"/>
        <v>3.1458333333333331E-2</v>
      </c>
    </row>
    <row r="17" spans="1:4" x14ac:dyDescent="0.2">
      <c r="A17" t="s">
        <v>402</v>
      </c>
      <c r="B17">
        <v>45</v>
      </c>
      <c r="C17">
        <v>19</v>
      </c>
      <c r="D17" s="91">
        <f t="shared" si="0"/>
        <v>3.1469907407407405E-2</v>
      </c>
    </row>
    <row r="18" spans="1:4" x14ac:dyDescent="0.2">
      <c r="A18" t="s">
        <v>403</v>
      </c>
      <c r="B18">
        <v>54</v>
      </c>
      <c r="C18">
        <v>15</v>
      </c>
      <c r="D18" s="91">
        <f t="shared" si="0"/>
        <v>3.7673611111111109E-2</v>
      </c>
    </row>
    <row r="19" spans="1:4" x14ac:dyDescent="0.2">
      <c r="A19" t="s">
        <v>404</v>
      </c>
      <c r="B19">
        <v>9</v>
      </c>
      <c r="C19">
        <v>47</v>
      </c>
      <c r="D19" s="91">
        <f t="shared" si="0"/>
        <v>6.7939814814814816E-3</v>
      </c>
    </row>
    <row r="20" spans="1:4" x14ac:dyDescent="0.2">
      <c r="A20" t="s">
        <v>405</v>
      </c>
      <c r="B20">
        <v>7</v>
      </c>
      <c r="C20">
        <v>46</v>
      </c>
      <c r="D20" s="91">
        <f t="shared" si="0"/>
        <v>5.3935185185185188E-3</v>
      </c>
    </row>
    <row r="21" spans="1:4" x14ac:dyDescent="0.2">
      <c r="A21" t="s">
        <v>406</v>
      </c>
      <c r="B21">
        <v>31</v>
      </c>
      <c r="C21">
        <v>8</v>
      </c>
      <c r="D21" s="91">
        <f t="shared" si="0"/>
        <v>2.162037037037037E-2</v>
      </c>
    </row>
    <row r="22" spans="1:4" x14ac:dyDescent="0.2">
      <c r="A22" t="s">
        <v>407</v>
      </c>
      <c r="B22">
        <v>73</v>
      </c>
      <c r="C22">
        <v>18</v>
      </c>
      <c r="D22" s="91">
        <f t="shared" si="0"/>
        <v>5.0902777777777776E-2</v>
      </c>
    </row>
    <row r="23" spans="1:4" x14ac:dyDescent="0.2">
      <c r="A23" t="s">
        <v>408</v>
      </c>
      <c r="B23">
        <v>52</v>
      </c>
      <c r="C23">
        <v>42</v>
      </c>
      <c r="D23" s="91">
        <f t="shared" si="0"/>
        <v>3.6597222222222218E-2</v>
      </c>
    </row>
    <row r="24" spans="1:4" x14ac:dyDescent="0.2">
      <c r="A24" t="s">
        <v>409</v>
      </c>
      <c r="B24">
        <v>18</v>
      </c>
      <c r="C24">
        <v>37</v>
      </c>
      <c r="D24" s="91">
        <f t="shared" si="0"/>
        <v>1.2928240740740742E-2</v>
      </c>
    </row>
    <row r="25" spans="1:4" x14ac:dyDescent="0.2">
      <c r="A25" s="32" t="s">
        <v>410</v>
      </c>
      <c r="D25" s="91" t="str">
        <f t="shared" si="0"/>
        <v/>
      </c>
    </row>
    <row r="26" spans="1:4" x14ac:dyDescent="0.2">
      <c r="A26" t="s">
        <v>411</v>
      </c>
      <c r="B26">
        <v>19</v>
      </c>
      <c r="C26">
        <v>17</v>
      </c>
      <c r="D26" s="91">
        <f t="shared" si="0"/>
        <v>1.3391203703703704E-2</v>
      </c>
    </row>
    <row r="27" spans="1:4" x14ac:dyDescent="0.2">
      <c r="A27" t="s">
        <v>412</v>
      </c>
      <c r="B27">
        <v>42</v>
      </c>
      <c r="C27">
        <v>2</v>
      </c>
      <c r="D27" s="91">
        <f t="shared" si="0"/>
        <v>2.9189814814814814E-2</v>
      </c>
    </row>
    <row r="28" spans="1:4" x14ac:dyDescent="0.2">
      <c r="A28" t="s">
        <v>413</v>
      </c>
      <c r="B28">
        <v>36</v>
      </c>
      <c r="C28">
        <v>32</v>
      </c>
      <c r="D28" s="91">
        <f t="shared" si="0"/>
        <v>2.5370370370370373E-2</v>
      </c>
    </row>
    <row r="29" spans="1:4" x14ac:dyDescent="0.2">
      <c r="A29" t="s">
        <v>414</v>
      </c>
      <c r="B29">
        <v>7</v>
      </c>
      <c r="C29">
        <v>57</v>
      </c>
      <c r="D29" s="91">
        <f t="shared" si="0"/>
        <v>5.5208333333333333E-3</v>
      </c>
    </row>
    <row r="30" spans="1:4" x14ac:dyDescent="0.2">
      <c r="A30" t="s">
        <v>415</v>
      </c>
      <c r="B30">
        <v>50</v>
      </c>
      <c r="C30">
        <v>28</v>
      </c>
      <c r="D30" s="91">
        <f t="shared" si="0"/>
        <v>3.5046296296296298E-2</v>
      </c>
    </row>
    <row r="31" spans="1:4" x14ac:dyDescent="0.2">
      <c r="A31" t="s">
        <v>416</v>
      </c>
      <c r="B31">
        <v>43</v>
      </c>
      <c r="C31">
        <v>51</v>
      </c>
      <c r="D31" s="91">
        <f t="shared" si="0"/>
        <v>3.0451388888888889E-2</v>
      </c>
    </row>
    <row r="32" spans="1:4" x14ac:dyDescent="0.2">
      <c r="A32" t="s">
        <v>417</v>
      </c>
      <c r="B32">
        <v>40</v>
      </c>
      <c r="C32">
        <v>45</v>
      </c>
      <c r="D32" s="91">
        <f t="shared" si="0"/>
        <v>2.8298611111111111E-2</v>
      </c>
    </row>
    <row r="33" spans="1:4" x14ac:dyDescent="0.2">
      <c r="A33" t="s">
        <v>418</v>
      </c>
      <c r="B33">
        <v>96</v>
      </c>
      <c r="C33">
        <v>46</v>
      </c>
      <c r="D33" s="91">
        <f t="shared" si="0"/>
        <v>6.7199074074074078E-2</v>
      </c>
    </row>
    <row r="34" spans="1:4" x14ac:dyDescent="0.2">
      <c r="A34" t="s">
        <v>419</v>
      </c>
      <c r="B34">
        <v>23</v>
      </c>
      <c r="C34">
        <v>4</v>
      </c>
      <c r="D34" s="91">
        <f t="shared" ref="D34:D65" si="1">IF(ISBLANK(C34),"",B34/1440+C34/86400)</f>
        <v>1.6018518518518519E-2</v>
      </c>
    </row>
    <row r="35" spans="1:4" x14ac:dyDescent="0.2">
      <c r="A35" t="s">
        <v>420</v>
      </c>
      <c r="B35">
        <v>69</v>
      </c>
      <c r="C35">
        <v>5</v>
      </c>
      <c r="D35" s="91">
        <f t="shared" si="1"/>
        <v>4.7974537037037038E-2</v>
      </c>
    </row>
    <row r="36" spans="1:4" x14ac:dyDescent="0.2">
      <c r="A36" s="32" t="s">
        <v>421</v>
      </c>
      <c r="D36" s="91" t="str">
        <f t="shared" si="1"/>
        <v/>
      </c>
    </row>
    <row r="37" spans="1:4" x14ac:dyDescent="0.2">
      <c r="A37" t="s">
        <v>422</v>
      </c>
      <c r="B37">
        <v>74</v>
      </c>
      <c r="C37">
        <v>48</v>
      </c>
      <c r="D37" s="91">
        <f t="shared" si="1"/>
        <v>5.1944444444444439E-2</v>
      </c>
    </row>
    <row r="38" spans="1:4" x14ac:dyDescent="0.2">
      <c r="A38" t="s">
        <v>423</v>
      </c>
      <c r="B38">
        <v>60</v>
      </c>
      <c r="C38">
        <v>8</v>
      </c>
      <c r="D38" s="91">
        <f t="shared" si="1"/>
        <v>4.175925925925926E-2</v>
      </c>
    </row>
    <row r="39" spans="1:4" x14ac:dyDescent="0.2">
      <c r="A39" t="s">
        <v>424</v>
      </c>
      <c r="B39">
        <v>41</v>
      </c>
      <c r="C39">
        <v>56</v>
      </c>
      <c r="D39" s="91">
        <f t="shared" si="1"/>
        <v>2.9120370370370369E-2</v>
      </c>
    </row>
    <row r="40" spans="1:4" x14ac:dyDescent="0.2">
      <c r="A40" t="s">
        <v>425</v>
      </c>
      <c r="B40">
        <v>61</v>
      </c>
      <c r="C40">
        <v>59</v>
      </c>
      <c r="D40" s="91">
        <f t="shared" si="1"/>
        <v>4.3043981481481482E-2</v>
      </c>
    </row>
    <row r="41" spans="1:4" x14ac:dyDescent="0.2">
      <c r="A41" t="s">
        <v>426</v>
      </c>
      <c r="B41">
        <v>38</v>
      </c>
      <c r="C41">
        <v>11</v>
      </c>
      <c r="D41" s="91">
        <f t="shared" si="1"/>
        <v>2.6516203703703705E-2</v>
      </c>
    </row>
    <row r="42" spans="1:4" x14ac:dyDescent="0.2">
      <c r="A42" t="s">
        <v>427</v>
      </c>
      <c r="B42">
        <v>57</v>
      </c>
      <c r="C42">
        <v>31</v>
      </c>
      <c r="D42" s="91">
        <f t="shared" si="1"/>
        <v>3.9942129629629626E-2</v>
      </c>
    </row>
    <row r="43" spans="1:4" x14ac:dyDescent="0.2">
      <c r="A43" t="s">
        <v>428</v>
      </c>
      <c r="B43">
        <v>37</v>
      </c>
      <c r="C43">
        <v>32</v>
      </c>
      <c r="D43" s="91">
        <f t="shared" si="1"/>
        <v>2.6064814814814815E-2</v>
      </c>
    </row>
    <row r="44" spans="1:4" x14ac:dyDescent="0.2">
      <c r="A44" t="s">
        <v>429</v>
      </c>
      <c r="B44">
        <v>63</v>
      </c>
      <c r="C44">
        <v>3</v>
      </c>
      <c r="D44" s="91">
        <f t="shared" si="1"/>
        <v>4.3784722222222218E-2</v>
      </c>
    </row>
    <row r="45" spans="1:4" x14ac:dyDescent="0.2">
      <c r="A45" s="32" t="s">
        <v>430</v>
      </c>
      <c r="D45" s="91" t="str">
        <f t="shared" si="1"/>
        <v/>
      </c>
    </row>
    <row r="46" spans="1:4" x14ac:dyDescent="0.2">
      <c r="A46" t="s">
        <v>431</v>
      </c>
      <c r="B46">
        <v>68</v>
      </c>
      <c r="C46">
        <v>59</v>
      </c>
      <c r="D46" s="91">
        <f t="shared" si="1"/>
        <v>4.7905092592592589E-2</v>
      </c>
    </row>
    <row r="47" spans="1:4" x14ac:dyDescent="0.2">
      <c r="A47" t="s">
        <v>432</v>
      </c>
      <c r="B47">
        <v>60</v>
      </c>
      <c r="C47">
        <v>17</v>
      </c>
      <c r="D47" s="91">
        <f t="shared" si="1"/>
        <v>4.1863425925925922E-2</v>
      </c>
    </row>
    <row r="48" spans="1:4" x14ac:dyDescent="0.2">
      <c r="A48" t="s">
        <v>433</v>
      </c>
      <c r="B48">
        <v>2</v>
      </c>
      <c r="C48">
        <v>54</v>
      </c>
      <c r="D48" s="91">
        <f t="shared" si="1"/>
        <v>2.0138888888888888E-3</v>
      </c>
    </row>
    <row r="49" spans="1:4" x14ac:dyDescent="0.2">
      <c r="A49" t="s">
        <v>434</v>
      </c>
      <c r="B49">
        <v>77</v>
      </c>
      <c r="C49">
        <v>59</v>
      </c>
      <c r="D49" s="91">
        <f t="shared" si="1"/>
        <v>5.4155092592592588E-2</v>
      </c>
    </row>
    <row r="50" spans="1:4" x14ac:dyDescent="0.2">
      <c r="A50" t="s">
        <v>435</v>
      </c>
      <c r="B50">
        <v>39</v>
      </c>
      <c r="C50">
        <v>51</v>
      </c>
      <c r="D50" s="91">
        <f t="shared" si="1"/>
        <v>2.7673611111111111E-2</v>
      </c>
    </row>
    <row r="51" spans="1:4" x14ac:dyDescent="0.2">
      <c r="A51" t="s">
        <v>436</v>
      </c>
      <c r="B51">
        <v>12</v>
      </c>
      <c r="C51">
        <v>30</v>
      </c>
      <c r="D51" s="91">
        <f t="shared" si="1"/>
        <v>8.6805555555555559E-3</v>
      </c>
    </row>
    <row r="52" spans="1:4" x14ac:dyDescent="0.2">
      <c r="A52" t="s">
        <v>437</v>
      </c>
      <c r="B52">
        <v>59</v>
      </c>
      <c r="C52">
        <v>22</v>
      </c>
      <c r="D52" s="91">
        <f t="shared" si="1"/>
        <v>4.1226851851851855E-2</v>
      </c>
    </row>
    <row r="53" spans="1:4" x14ac:dyDescent="0.2">
      <c r="A53" t="s">
        <v>438</v>
      </c>
      <c r="B53">
        <v>37</v>
      </c>
      <c r="C53">
        <v>17</v>
      </c>
      <c r="D53" s="91">
        <f t="shared" si="1"/>
        <v>2.5891203703703701E-2</v>
      </c>
    </row>
    <row r="54" spans="1:4" x14ac:dyDescent="0.2">
      <c r="A54" t="s">
        <v>439</v>
      </c>
      <c r="B54">
        <v>60</v>
      </c>
      <c r="C54">
        <v>58</v>
      </c>
      <c r="D54" s="91">
        <f t="shared" si="1"/>
        <v>4.2337962962962959E-2</v>
      </c>
    </row>
    <row r="55" spans="1:4" x14ac:dyDescent="0.2">
      <c r="A55" t="s">
        <v>440</v>
      </c>
      <c r="B55">
        <v>66</v>
      </c>
      <c r="C55">
        <v>21</v>
      </c>
      <c r="D55" s="91">
        <f t="shared" si="1"/>
        <v>4.6076388888888889E-2</v>
      </c>
    </row>
    <row r="56" spans="1:4" x14ac:dyDescent="0.2">
      <c r="A56" t="s">
        <v>441</v>
      </c>
      <c r="B56">
        <v>60</v>
      </c>
      <c r="C56">
        <v>20</v>
      </c>
      <c r="D56" s="91">
        <f t="shared" si="1"/>
        <v>4.1898148148148143E-2</v>
      </c>
    </row>
    <row r="57" spans="1:4" x14ac:dyDescent="0.2">
      <c r="A57" t="s">
        <v>442</v>
      </c>
      <c r="B57">
        <v>59</v>
      </c>
      <c r="C57">
        <v>22</v>
      </c>
      <c r="D57" s="91">
        <f t="shared" si="1"/>
        <v>4.1226851851851855E-2</v>
      </c>
    </row>
    <row r="58" spans="1:4" x14ac:dyDescent="0.2">
      <c r="A58" s="32" t="s">
        <v>443</v>
      </c>
      <c r="D58" s="91" t="str">
        <f t="shared" si="1"/>
        <v/>
      </c>
    </row>
    <row r="59" spans="1:4" x14ac:dyDescent="0.2">
      <c r="A59" t="s">
        <v>444</v>
      </c>
      <c r="B59">
        <v>39</v>
      </c>
      <c r="C59">
        <v>19</v>
      </c>
      <c r="D59" s="91">
        <f t="shared" si="1"/>
        <v>2.7303240740740743E-2</v>
      </c>
    </row>
    <row r="60" spans="1:4" x14ac:dyDescent="0.2">
      <c r="A60" t="s">
        <v>445</v>
      </c>
      <c r="B60">
        <v>67</v>
      </c>
      <c r="C60">
        <v>42</v>
      </c>
      <c r="D60" s="91">
        <f t="shared" si="1"/>
        <v>4.701388888888889E-2</v>
      </c>
    </row>
    <row r="61" spans="1:4" x14ac:dyDescent="0.2">
      <c r="A61" t="s">
        <v>446</v>
      </c>
      <c r="B61">
        <v>16</v>
      </c>
      <c r="C61">
        <v>46</v>
      </c>
      <c r="D61" s="91">
        <f t="shared" si="1"/>
        <v>1.1643518518518518E-2</v>
      </c>
    </row>
    <row r="62" spans="1:4" x14ac:dyDescent="0.2">
      <c r="A62" t="s">
        <v>447</v>
      </c>
      <c r="B62">
        <v>54</v>
      </c>
      <c r="C62">
        <v>57</v>
      </c>
      <c r="D62" s="91">
        <f t="shared" si="1"/>
        <v>3.815972222222222E-2</v>
      </c>
    </row>
    <row r="63" spans="1:4" x14ac:dyDescent="0.2">
      <c r="A63" t="s">
        <v>448</v>
      </c>
      <c r="B63">
        <v>49</v>
      </c>
      <c r="C63">
        <v>52</v>
      </c>
      <c r="D63" s="91">
        <f t="shared" si="1"/>
        <v>3.4629629629629628E-2</v>
      </c>
    </row>
    <row r="64" spans="1:4" x14ac:dyDescent="0.2">
      <c r="A64" t="s">
        <v>449</v>
      </c>
      <c r="B64">
        <v>55</v>
      </c>
      <c r="C64">
        <v>53</v>
      </c>
      <c r="D64" s="91">
        <f t="shared" si="1"/>
        <v>3.8807870370370375E-2</v>
      </c>
    </row>
    <row r="65" spans="1:4" x14ac:dyDescent="0.2">
      <c r="A65" t="s">
        <v>450</v>
      </c>
      <c r="B65">
        <v>45</v>
      </c>
      <c r="C65">
        <v>49</v>
      </c>
      <c r="D65" s="91">
        <f t="shared" si="1"/>
        <v>3.1817129629629633E-2</v>
      </c>
    </row>
    <row r="66" spans="1:4" x14ac:dyDescent="0.2">
      <c r="A66" t="s">
        <v>451</v>
      </c>
      <c r="B66">
        <v>20</v>
      </c>
      <c r="C66">
        <v>32</v>
      </c>
      <c r="D66" s="91">
        <f t="shared" ref="D66:D97" si="2">IF(ISBLANK(C66),"",B66/1440+C66/86400)</f>
        <v>1.4259259259259258E-2</v>
      </c>
    </row>
    <row r="67" spans="1:4" x14ac:dyDescent="0.2">
      <c r="A67" t="s">
        <v>452</v>
      </c>
      <c r="B67">
        <v>58</v>
      </c>
      <c r="C67">
        <v>55</v>
      </c>
      <c r="D67" s="91">
        <f t="shared" si="2"/>
        <v>4.0914351851851855E-2</v>
      </c>
    </row>
    <row r="68" spans="1:4" x14ac:dyDescent="0.2">
      <c r="A68" t="s">
        <v>453</v>
      </c>
      <c r="B68">
        <v>33</v>
      </c>
      <c r="C68">
        <v>31</v>
      </c>
      <c r="D68" s="91">
        <f t="shared" si="2"/>
        <v>2.3275462962962963E-2</v>
      </c>
    </row>
    <row r="69" spans="1:4" x14ac:dyDescent="0.2">
      <c r="A69" s="32" t="s">
        <v>454</v>
      </c>
      <c r="D69" s="91" t="str">
        <f t="shared" si="2"/>
        <v/>
      </c>
    </row>
    <row r="70" spans="1:4" x14ac:dyDescent="0.2">
      <c r="A70" t="s">
        <v>455</v>
      </c>
      <c r="B70">
        <v>22</v>
      </c>
      <c r="C70">
        <v>22</v>
      </c>
      <c r="D70" s="91">
        <f t="shared" si="2"/>
        <v>1.5532407407407406E-2</v>
      </c>
    </row>
    <row r="71" spans="1:4" x14ac:dyDescent="0.2">
      <c r="A71" t="s">
        <v>456</v>
      </c>
      <c r="B71">
        <v>36</v>
      </c>
      <c r="C71">
        <v>10</v>
      </c>
      <c r="D71" s="91">
        <f t="shared" si="2"/>
        <v>2.5115740740740741E-2</v>
      </c>
    </row>
    <row r="72" spans="1:4" x14ac:dyDescent="0.2">
      <c r="A72" t="s">
        <v>457</v>
      </c>
      <c r="B72">
        <v>53</v>
      </c>
      <c r="C72">
        <v>15</v>
      </c>
      <c r="D72" s="91">
        <f t="shared" si="2"/>
        <v>3.6979166666666667E-2</v>
      </c>
    </row>
    <row r="73" spans="1:4" x14ac:dyDescent="0.2">
      <c r="A73" t="s">
        <v>458</v>
      </c>
      <c r="B73">
        <v>35</v>
      </c>
      <c r="C73">
        <v>13</v>
      </c>
      <c r="D73" s="91">
        <f t="shared" si="2"/>
        <v>2.4456018518518519E-2</v>
      </c>
    </row>
    <row r="74" spans="1:4" x14ac:dyDescent="0.2">
      <c r="A74" t="s">
        <v>459</v>
      </c>
      <c r="B74">
        <v>61</v>
      </c>
      <c r="C74">
        <v>30</v>
      </c>
      <c r="D74" s="91">
        <f t="shared" si="2"/>
        <v>4.2708333333333334E-2</v>
      </c>
    </row>
    <row r="75" spans="1:4" x14ac:dyDescent="0.2">
      <c r="A75" t="s">
        <v>460</v>
      </c>
      <c r="B75">
        <v>79</v>
      </c>
      <c r="C75">
        <v>0</v>
      </c>
      <c r="D75" s="91">
        <f t="shared" si="2"/>
        <v>5.486111111111111E-2</v>
      </c>
    </row>
    <row r="76" spans="1:4" x14ac:dyDescent="0.2">
      <c r="A76" t="s">
        <v>461</v>
      </c>
      <c r="B76">
        <v>20</v>
      </c>
      <c r="C76">
        <v>15</v>
      </c>
      <c r="D76" s="91">
        <f t="shared" si="2"/>
        <v>1.4062499999999999E-2</v>
      </c>
    </row>
    <row r="77" spans="1:4" x14ac:dyDescent="0.2">
      <c r="A77" t="s">
        <v>462</v>
      </c>
      <c r="B77">
        <v>21</v>
      </c>
      <c r="C77">
        <v>42</v>
      </c>
      <c r="D77" s="91">
        <f t="shared" si="2"/>
        <v>1.5069444444444444E-2</v>
      </c>
    </row>
    <row r="78" spans="1:4" x14ac:dyDescent="0.2">
      <c r="A78" t="s">
        <v>463</v>
      </c>
      <c r="B78">
        <v>35</v>
      </c>
      <c r="C78">
        <v>39</v>
      </c>
      <c r="D78" s="91">
        <f t="shared" si="2"/>
        <v>2.4756944444444446E-2</v>
      </c>
    </row>
    <row r="79" spans="1:4" x14ac:dyDescent="0.2">
      <c r="A79" t="s">
        <v>464</v>
      </c>
      <c r="B79">
        <v>51</v>
      </c>
      <c r="C79">
        <v>42</v>
      </c>
      <c r="D79" s="91">
        <f t="shared" si="2"/>
        <v>3.5902777777777777E-2</v>
      </c>
    </row>
    <row r="80" spans="1:4" x14ac:dyDescent="0.2">
      <c r="A80" t="s">
        <v>465</v>
      </c>
      <c r="B80">
        <v>45</v>
      </c>
      <c r="C80">
        <v>28</v>
      </c>
      <c r="D80" s="91">
        <f t="shared" si="2"/>
        <v>3.1574074074074074E-2</v>
      </c>
    </row>
    <row r="81" spans="1:4" x14ac:dyDescent="0.2">
      <c r="A81" t="s">
        <v>466</v>
      </c>
      <c r="B81">
        <v>14</v>
      </c>
      <c r="C81">
        <v>17</v>
      </c>
      <c r="D81" s="91">
        <f t="shared" si="2"/>
        <v>9.9189814814814817E-3</v>
      </c>
    </row>
    <row r="82" spans="1:4" x14ac:dyDescent="0.2">
      <c r="A82" t="s">
        <v>467</v>
      </c>
      <c r="B82">
        <v>60</v>
      </c>
      <c r="C82">
        <v>36</v>
      </c>
      <c r="D82" s="91">
        <f t="shared" si="2"/>
        <v>4.2083333333333334E-2</v>
      </c>
    </row>
    <row r="83" spans="1:4" x14ac:dyDescent="0.2">
      <c r="A83" t="s">
        <v>468</v>
      </c>
      <c r="B83">
        <v>49</v>
      </c>
      <c r="C83">
        <v>37</v>
      </c>
      <c r="D83" s="91">
        <f t="shared" si="2"/>
        <v>3.4456018518518518E-2</v>
      </c>
    </row>
    <row r="84" spans="1:4" x14ac:dyDescent="0.2">
      <c r="A84" s="32" t="s">
        <v>469</v>
      </c>
      <c r="D84" s="91" t="str">
        <f t="shared" si="2"/>
        <v/>
      </c>
    </row>
    <row r="85" spans="1:4" x14ac:dyDescent="0.2">
      <c r="A85" t="s">
        <v>470</v>
      </c>
      <c r="B85">
        <v>36</v>
      </c>
      <c r="C85">
        <v>54</v>
      </c>
      <c r="D85" s="91">
        <f t="shared" si="2"/>
        <v>2.5625000000000002E-2</v>
      </c>
    </row>
    <row r="86" spans="1:4" x14ac:dyDescent="0.2">
      <c r="A86" t="s">
        <v>471</v>
      </c>
      <c r="B86">
        <v>21</v>
      </c>
      <c r="C86">
        <v>14</v>
      </c>
      <c r="D86" s="91">
        <f t="shared" si="2"/>
        <v>1.474537037037037E-2</v>
      </c>
    </row>
    <row r="87" spans="1:4" x14ac:dyDescent="0.2">
      <c r="A87" t="s">
        <v>472</v>
      </c>
      <c r="B87">
        <v>105</v>
      </c>
      <c r="C87">
        <v>56</v>
      </c>
      <c r="D87" s="91">
        <f t="shared" si="2"/>
        <v>7.3564814814814819E-2</v>
      </c>
    </row>
    <row r="88" spans="1:4" x14ac:dyDescent="0.2">
      <c r="A88" t="s">
        <v>473</v>
      </c>
      <c r="B88">
        <v>41</v>
      </c>
      <c r="C88">
        <v>0</v>
      </c>
      <c r="D88" s="91">
        <f t="shared" si="2"/>
        <v>2.8472222222222222E-2</v>
      </c>
    </row>
    <row r="89" spans="1:4" x14ac:dyDescent="0.2">
      <c r="A89" t="s">
        <v>474</v>
      </c>
      <c r="B89">
        <v>62</v>
      </c>
      <c r="C89">
        <v>21</v>
      </c>
      <c r="D89" s="91">
        <f t="shared" si="2"/>
        <v>4.3298611111111114E-2</v>
      </c>
    </row>
    <row r="90" spans="1:4" x14ac:dyDescent="0.2">
      <c r="A90" s="32" t="s">
        <v>475</v>
      </c>
      <c r="D90" s="91" t="str">
        <f t="shared" si="2"/>
        <v/>
      </c>
    </row>
    <row r="91" spans="1:4" x14ac:dyDescent="0.2">
      <c r="A91" t="s">
        <v>476</v>
      </c>
      <c r="B91">
        <v>69</v>
      </c>
      <c r="C91">
        <v>49</v>
      </c>
      <c r="D91" s="91">
        <f t="shared" si="2"/>
        <v>4.8483796296296303E-2</v>
      </c>
    </row>
    <row r="92" spans="1:4" x14ac:dyDescent="0.2">
      <c r="A92" t="s">
        <v>477</v>
      </c>
      <c r="B92">
        <v>69</v>
      </c>
      <c r="C92">
        <v>44</v>
      </c>
      <c r="D92" s="91">
        <f t="shared" si="2"/>
        <v>4.8425925925925928E-2</v>
      </c>
    </row>
    <row r="93" spans="1:4" x14ac:dyDescent="0.2">
      <c r="A93" t="s">
        <v>478</v>
      </c>
      <c r="B93">
        <v>62</v>
      </c>
      <c r="C93">
        <v>57</v>
      </c>
      <c r="D93" s="91">
        <f t="shared" si="2"/>
        <v>4.3715277777777777E-2</v>
      </c>
    </row>
    <row r="94" spans="1:4" x14ac:dyDescent="0.2">
      <c r="A94" t="s">
        <v>479</v>
      </c>
      <c r="B94">
        <v>76</v>
      </c>
      <c r="C94">
        <v>53</v>
      </c>
      <c r="D94" s="91">
        <f t="shared" si="2"/>
        <v>5.3391203703703705E-2</v>
      </c>
    </row>
    <row r="95" spans="1:4" x14ac:dyDescent="0.2">
      <c r="A95" t="s">
        <v>480</v>
      </c>
      <c r="B95">
        <v>64</v>
      </c>
      <c r="C95">
        <v>25</v>
      </c>
      <c r="D95" s="91">
        <f t="shared" si="2"/>
        <v>4.4733796296296299E-2</v>
      </c>
    </row>
    <row r="96" spans="1:4" x14ac:dyDescent="0.2">
      <c r="A96" t="s">
        <v>481</v>
      </c>
      <c r="B96">
        <v>42</v>
      </c>
      <c r="C96">
        <v>3</v>
      </c>
      <c r="D96" s="91">
        <f t="shared" si="2"/>
        <v>2.9201388888888888E-2</v>
      </c>
    </row>
    <row r="97" spans="1:4" x14ac:dyDescent="0.2">
      <c r="A97" t="s">
        <v>482</v>
      </c>
      <c r="B97">
        <v>44</v>
      </c>
      <c r="C97">
        <v>13</v>
      </c>
      <c r="D97" s="91">
        <f t="shared" si="2"/>
        <v>3.0706018518518518E-2</v>
      </c>
    </row>
    <row r="98" spans="1:4" x14ac:dyDescent="0.2">
      <c r="A98" t="s">
        <v>483</v>
      </c>
      <c r="B98">
        <v>39</v>
      </c>
      <c r="C98">
        <v>0</v>
      </c>
      <c r="D98" s="91">
        <f t="shared" ref="D98:D113" si="3">IF(ISBLANK(C98),"",B98/1440+C98/86400)</f>
        <v>2.7083333333333334E-2</v>
      </c>
    </row>
    <row r="99" spans="1:4" x14ac:dyDescent="0.2">
      <c r="A99" t="s">
        <v>484</v>
      </c>
      <c r="B99">
        <v>31</v>
      </c>
      <c r="C99">
        <v>7</v>
      </c>
      <c r="D99" s="91">
        <f t="shared" si="3"/>
        <v>2.1608796296296296E-2</v>
      </c>
    </row>
    <row r="100" spans="1:4" x14ac:dyDescent="0.2">
      <c r="A100" t="s">
        <v>485</v>
      </c>
      <c r="B100">
        <v>21</v>
      </c>
      <c r="C100">
        <v>3</v>
      </c>
      <c r="D100" s="91">
        <f t="shared" si="3"/>
        <v>1.4618055555555556E-2</v>
      </c>
    </row>
    <row r="101" spans="1:4" x14ac:dyDescent="0.2">
      <c r="A101" s="32" t="s">
        <v>486</v>
      </c>
      <c r="D101" s="91" t="str">
        <f t="shared" si="3"/>
        <v/>
      </c>
    </row>
    <row r="102" spans="1:4" x14ac:dyDescent="0.2">
      <c r="A102" t="s">
        <v>487</v>
      </c>
      <c r="B102">
        <v>67</v>
      </c>
      <c r="C102">
        <v>56</v>
      </c>
      <c r="D102" s="91">
        <f t="shared" si="3"/>
        <v>4.7175925925925927E-2</v>
      </c>
    </row>
    <row r="103" spans="1:4" x14ac:dyDescent="0.2">
      <c r="A103" t="s">
        <v>488</v>
      </c>
      <c r="B103">
        <v>51</v>
      </c>
      <c r="C103">
        <v>35</v>
      </c>
      <c r="D103" s="91">
        <f t="shared" si="3"/>
        <v>3.5821759259259262E-2</v>
      </c>
    </row>
    <row r="104" spans="1:4" x14ac:dyDescent="0.2">
      <c r="A104" t="s">
        <v>489</v>
      </c>
      <c r="B104">
        <v>29</v>
      </c>
      <c r="C104">
        <v>48</v>
      </c>
      <c r="D104" s="91">
        <f t="shared" si="3"/>
        <v>2.0694444444444446E-2</v>
      </c>
    </row>
    <row r="105" spans="1:4" x14ac:dyDescent="0.2">
      <c r="A105" t="s">
        <v>490</v>
      </c>
      <c r="B105">
        <v>30</v>
      </c>
      <c r="C105">
        <v>6</v>
      </c>
      <c r="D105" s="91">
        <f t="shared" si="3"/>
        <v>2.0902777777777777E-2</v>
      </c>
    </row>
    <row r="106" spans="1:4" x14ac:dyDescent="0.2">
      <c r="A106" t="s">
        <v>491</v>
      </c>
      <c r="B106">
        <v>44</v>
      </c>
      <c r="C106">
        <v>4</v>
      </c>
      <c r="D106" s="91">
        <f t="shared" si="3"/>
        <v>3.0601851851851852E-2</v>
      </c>
    </row>
    <row r="107" spans="1:4" x14ac:dyDescent="0.2">
      <c r="A107" t="s">
        <v>492</v>
      </c>
      <c r="B107">
        <v>60</v>
      </c>
      <c r="C107">
        <v>2</v>
      </c>
      <c r="D107" s="91">
        <f t="shared" si="3"/>
        <v>4.1689814814814811E-2</v>
      </c>
    </row>
    <row r="108" spans="1:4" x14ac:dyDescent="0.2">
      <c r="A108" t="s">
        <v>493</v>
      </c>
      <c r="B108">
        <v>55</v>
      </c>
      <c r="C108">
        <v>43</v>
      </c>
      <c r="D108" s="91">
        <f t="shared" si="3"/>
        <v>3.8692129629629632E-2</v>
      </c>
    </row>
    <row r="109" spans="1:4" x14ac:dyDescent="0.2">
      <c r="A109" t="s">
        <v>494</v>
      </c>
      <c r="B109">
        <v>63</v>
      </c>
      <c r="C109">
        <v>2</v>
      </c>
      <c r="D109" s="91">
        <f t="shared" si="3"/>
        <v>4.3773148148148144E-2</v>
      </c>
    </row>
    <row r="110" spans="1:4" x14ac:dyDescent="0.2">
      <c r="A110" t="s">
        <v>495</v>
      </c>
      <c r="B110">
        <v>60</v>
      </c>
      <c r="C110">
        <v>48</v>
      </c>
      <c r="D110" s="91">
        <f t="shared" si="3"/>
        <v>4.2222222222222217E-2</v>
      </c>
    </row>
    <row r="111" spans="1:4" x14ac:dyDescent="0.2">
      <c r="A111" t="s">
        <v>496</v>
      </c>
      <c r="B111">
        <v>87</v>
      </c>
      <c r="C111">
        <v>22</v>
      </c>
      <c r="D111" s="91">
        <f t="shared" si="3"/>
        <v>6.06712962962963E-2</v>
      </c>
    </row>
    <row r="112" spans="1:4" x14ac:dyDescent="0.2">
      <c r="A112" s="32" t="s">
        <v>497</v>
      </c>
      <c r="D112" s="91" t="str">
        <f t="shared" si="3"/>
        <v/>
      </c>
    </row>
    <row r="113" spans="1:4" x14ac:dyDescent="0.2">
      <c r="A113" t="s">
        <v>498</v>
      </c>
      <c r="B113">
        <v>11</v>
      </c>
      <c r="C113">
        <v>19</v>
      </c>
      <c r="D113" s="91">
        <f t="shared" si="3"/>
        <v>7.858796296296296E-3</v>
      </c>
    </row>
    <row r="114" spans="1:4" x14ac:dyDescent="0.2">
      <c r="A114" s="34" t="str">
        <f>"总时长："&amp;TEXT(SUM(B:B)/1440+SUM(C:C)/86400,"[h]:mm:ss")</f>
        <v>总时长：79:03:38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628E-F669-40A2-855C-BA931809CE20}">
  <sheetPr codeName="Sheet12"/>
  <dimension ref="A1:D16"/>
  <sheetViews>
    <sheetView workbookViewId="0">
      <selection activeCell="D16" sqref="D16"/>
    </sheetView>
  </sheetViews>
  <sheetFormatPr defaultRowHeight="14.25" x14ac:dyDescent="0.2"/>
  <cols>
    <col min="1" max="1" width="27.75" bestFit="1" customWidth="1"/>
    <col min="2" max="2" width="9.625" customWidth="1"/>
    <col min="3" max="3" width="9.75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53</v>
      </c>
    </row>
    <row r="2" spans="1:4" x14ac:dyDescent="0.2">
      <c r="A2" s="47" t="s">
        <v>304</v>
      </c>
      <c r="B2" s="48">
        <v>11</v>
      </c>
      <c r="C2" s="48">
        <v>40</v>
      </c>
      <c r="D2" s="49">
        <v>1</v>
      </c>
    </row>
    <row r="3" spans="1:4" x14ac:dyDescent="0.2">
      <c r="A3" s="50" t="s">
        <v>305</v>
      </c>
      <c r="B3" s="51">
        <v>9</v>
      </c>
      <c r="C3" s="51">
        <v>35</v>
      </c>
      <c r="D3" s="52">
        <v>1</v>
      </c>
    </row>
    <row r="4" spans="1:4" x14ac:dyDescent="0.2">
      <c r="A4" s="47" t="s">
        <v>306</v>
      </c>
      <c r="B4" s="48">
        <v>39</v>
      </c>
      <c r="C4" s="48">
        <v>56</v>
      </c>
      <c r="D4" s="49">
        <v>1</v>
      </c>
    </row>
    <row r="5" spans="1:4" x14ac:dyDescent="0.2">
      <c r="A5" s="50" t="s">
        <v>307</v>
      </c>
      <c r="B5" s="51">
        <v>25</v>
      </c>
      <c r="C5" s="51">
        <v>46</v>
      </c>
      <c r="D5" s="52">
        <v>1</v>
      </c>
    </row>
    <row r="6" spans="1:4" x14ac:dyDescent="0.2">
      <c r="A6" s="47" t="s">
        <v>308</v>
      </c>
      <c r="B6" s="48">
        <v>41</v>
      </c>
      <c r="C6" s="48">
        <v>56</v>
      </c>
      <c r="D6" s="49">
        <v>1</v>
      </c>
    </row>
    <row r="7" spans="1:4" x14ac:dyDescent="0.2">
      <c r="A7" s="50" t="s">
        <v>309</v>
      </c>
      <c r="B7" s="51">
        <v>39</v>
      </c>
      <c r="C7" s="51">
        <v>24</v>
      </c>
      <c r="D7" s="52">
        <v>1</v>
      </c>
    </row>
    <row r="8" spans="1:4" x14ac:dyDescent="0.2">
      <c r="A8" s="47" t="s">
        <v>600</v>
      </c>
      <c r="B8" s="48">
        <v>18</v>
      </c>
      <c r="C8" s="48">
        <v>21</v>
      </c>
      <c r="D8" s="49">
        <v>1</v>
      </c>
    </row>
    <row r="9" spans="1:4" x14ac:dyDescent="0.2">
      <c r="A9" s="50" t="s">
        <v>310</v>
      </c>
      <c r="B9" s="51">
        <v>41</v>
      </c>
      <c r="C9" s="51">
        <v>39</v>
      </c>
      <c r="D9" s="52">
        <v>2</v>
      </c>
    </row>
    <row r="10" spans="1:4" x14ac:dyDescent="0.2">
      <c r="A10" s="47" t="s">
        <v>311</v>
      </c>
      <c r="B10" s="48">
        <v>54</v>
      </c>
      <c r="C10" s="48">
        <v>0</v>
      </c>
      <c r="D10" s="49">
        <v>2</v>
      </c>
    </row>
    <row r="11" spans="1:4" x14ac:dyDescent="0.2">
      <c r="A11" s="50" t="s">
        <v>312</v>
      </c>
      <c r="B11" s="51">
        <v>41</v>
      </c>
      <c r="C11" s="51">
        <v>4</v>
      </c>
      <c r="D11" s="52">
        <v>3</v>
      </c>
    </row>
    <row r="12" spans="1:4" x14ac:dyDescent="0.2">
      <c r="A12" s="47" t="s">
        <v>313</v>
      </c>
      <c r="B12" s="48">
        <v>55</v>
      </c>
      <c r="C12" s="48">
        <v>3</v>
      </c>
      <c r="D12" s="49">
        <v>3</v>
      </c>
    </row>
    <row r="13" spans="1:4" x14ac:dyDescent="0.2">
      <c r="A13" s="50" t="s">
        <v>314</v>
      </c>
      <c r="B13" s="51">
        <v>49</v>
      </c>
      <c r="C13" s="51">
        <v>16</v>
      </c>
      <c r="D13" s="52">
        <v>4</v>
      </c>
    </row>
    <row r="14" spans="1:4" x14ac:dyDescent="0.2">
      <c r="A14" s="65" t="s">
        <v>315</v>
      </c>
      <c r="B14" s="66">
        <v>24</v>
      </c>
      <c r="C14" s="66">
        <v>51</v>
      </c>
      <c r="D14" s="67">
        <v>4</v>
      </c>
    </row>
    <row r="16" spans="1:4" x14ac:dyDescent="0.2">
      <c r="A16" s="78" t="str">
        <f>"总时长："&amp;TEXT(SUM(B:B)/1440+SUM(C:C)/86400,"[h]:mm:ss")</f>
        <v>总时长：7:32:31</v>
      </c>
      <c r="B16" s="3"/>
      <c r="C16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4581-7942-4FCC-A12F-3EC4A3FA8D07}">
  <sheetPr codeName="Sheet13"/>
  <dimension ref="A1:D10"/>
  <sheetViews>
    <sheetView workbookViewId="0">
      <selection activeCell="D10" sqref="D10"/>
    </sheetView>
  </sheetViews>
  <sheetFormatPr defaultRowHeight="14.25" x14ac:dyDescent="0.2"/>
  <cols>
    <col min="1" max="1" width="28.125" bestFit="1" customWidth="1"/>
    <col min="2" max="2" width="12.375" bestFit="1" customWidth="1"/>
    <col min="3" max="3" width="12.5" bestFit="1" customWidth="1"/>
    <col min="4" max="4" width="8.875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53</v>
      </c>
    </row>
    <row r="2" spans="1:4" x14ac:dyDescent="0.2">
      <c r="A2" s="47" t="s">
        <v>316</v>
      </c>
      <c r="B2" s="48">
        <v>72</v>
      </c>
      <c r="C2" s="48">
        <v>20</v>
      </c>
      <c r="D2" s="49">
        <v>1</v>
      </c>
    </row>
    <row r="3" spans="1:4" x14ac:dyDescent="0.2">
      <c r="A3" s="50" t="s">
        <v>317</v>
      </c>
      <c r="B3" s="51">
        <v>41</v>
      </c>
      <c r="C3" s="51">
        <v>8</v>
      </c>
      <c r="D3" s="52">
        <v>1</v>
      </c>
    </row>
    <row r="4" spans="1:4" x14ac:dyDescent="0.2">
      <c r="A4" s="47" t="s">
        <v>318</v>
      </c>
      <c r="B4" s="48">
        <v>24</v>
      </c>
      <c r="C4" s="48">
        <v>39</v>
      </c>
      <c r="D4" s="49">
        <v>1</v>
      </c>
    </row>
    <row r="5" spans="1:4" x14ac:dyDescent="0.2">
      <c r="A5" s="50" t="s">
        <v>319</v>
      </c>
      <c r="B5" s="51">
        <v>10</v>
      </c>
      <c r="C5" s="51">
        <v>13</v>
      </c>
      <c r="D5" s="52">
        <v>2</v>
      </c>
    </row>
    <row r="6" spans="1:4" x14ac:dyDescent="0.2">
      <c r="A6" s="47" t="s">
        <v>320</v>
      </c>
      <c r="B6" s="48">
        <v>2</v>
      </c>
      <c r="C6" s="48">
        <v>2</v>
      </c>
      <c r="D6" s="49">
        <v>2</v>
      </c>
    </row>
    <row r="7" spans="1:4" x14ac:dyDescent="0.2">
      <c r="A7" s="50" t="s">
        <v>321</v>
      </c>
      <c r="B7" s="51">
        <v>16</v>
      </c>
      <c r="C7" s="51">
        <v>7</v>
      </c>
      <c r="D7" s="52">
        <v>2</v>
      </c>
    </row>
    <row r="8" spans="1:4" x14ac:dyDescent="0.2">
      <c r="A8" s="65" t="s">
        <v>322</v>
      </c>
      <c r="B8" s="66">
        <v>16</v>
      </c>
      <c r="C8" s="66">
        <v>19</v>
      </c>
      <c r="D8" s="67">
        <v>2</v>
      </c>
    </row>
    <row r="10" spans="1:4" x14ac:dyDescent="0.2">
      <c r="A10" s="12" t="str">
        <f>"总时长："&amp;TEXT(SUM(B:B)/1440+SUM(C:C)/86400,"[h]:mm:ss")</f>
        <v>总时长：3:02:48</v>
      </c>
      <c r="B10" s="3"/>
      <c r="C10" s="3"/>
      <c r="D10" s="3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BBF-CF90-430B-B2E0-B6425812829B}">
  <sheetPr codeName="Sheet14"/>
  <dimension ref="A1:D10"/>
  <sheetViews>
    <sheetView workbookViewId="0">
      <selection activeCell="D10" sqref="D10"/>
    </sheetView>
  </sheetViews>
  <sheetFormatPr defaultRowHeight="14.25" x14ac:dyDescent="0.2"/>
  <cols>
    <col min="1" max="1" width="14.375" bestFit="1" customWidth="1"/>
    <col min="2" max="2" width="12.375" bestFit="1" customWidth="1"/>
    <col min="3" max="3" width="12.5" bestFit="1" customWidth="1"/>
    <col min="4" max="4" width="8.875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53</v>
      </c>
    </row>
    <row r="2" spans="1:4" x14ac:dyDescent="0.2">
      <c r="A2" s="47" t="s">
        <v>323</v>
      </c>
      <c r="B2" s="48">
        <v>82</v>
      </c>
      <c r="C2" s="48">
        <v>31</v>
      </c>
      <c r="D2" s="49">
        <v>1</v>
      </c>
    </row>
    <row r="3" spans="1:4" x14ac:dyDescent="0.2">
      <c r="A3" s="50" t="s">
        <v>324</v>
      </c>
      <c r="B3" s="51">
        <v>8</v>
      </c>
      <c r="C3" s="51">
        <v>25</v>
      </c>
      <c r="D3" s="52">
        <v>1</v>
      </c>
    </row>
    <row r="4" spans="1:4" x14ac:dyDescent="0.2">
      <c r="A4" s="47" t="s">
        <v>325</v>
      </c>
      <c r="B4" s="48">
        <v>18</v>
      </c>
      <c r="C4" s="48">
        <v>6</v>
      </c>
      <c r="D4" s="49">
        <v>2</v>
      </c>
    </row>
    <row r="5" spans="1:4" x14ac:dyDescent="0.2">
      <c r="A5" s="50" t="s">
        <v>326</v>
      </c>
      <c r="B5" s="51">
        <v>38</v>
      </c>
      <c r="C5" s="51">
        <v>29</v>
      </c>
      <c r="D5" s="52">
        <v>2</v>
      </c>
    </row>
    <row r="6" spans="1:4" x14ac:dyDescent="0.2">
      <c r="A6" s="47" t="s">
        <v>327</v>
      </c>
      <c r="B6" s="48">
        <v>43</v>
      </c>
      <c r="C6" s="48">
        <v>28</v>
      </c>
      <c r="D6" s="49">
        <v>2</v>
      </c>
    </row>
    <row r="7" spans="1:4" x14ac:dyDescent="0.2">
      <c r="A7" s="50" t="s">
        <v>328</v>
      </c>
      <c r="B7" s="51">
        <v>69</v>
      </c>
      <c r="C7" s="51">
        <v>3</v>
      </c>
      <c r="D7" s="52">
        <v>3</v>
      </c>
    </row>
    <row r="8" spans="1:4" x14ac:dyDescent="0.2">
      <c r="A8" s="65" t="s">
        <v>329</v>
      </c>
      <c r="B8" s="66">
        <v>37</v>
      </c>
      <c r="C8" s="66">
        <v>5</v>
      </c>
      <c r="D8" s="67">
        <v>3</v>
      </c>
    </row>
    <row r="10" spans="1:4" x14ac:dyDescent="0.2">
      <c r="A10" s="35" t="str">
        <f>"总时长："&amp;TEXT(SUM(B:B)/1440+SUM(C:C)/86400,"[h]:mm:ss")</f>
        <v>总时长：4:57:07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5C93-FCC5-4D30-A25D-4C01DD061FF8}">
  <sheetPr codeName="Sheet15"/>
  <dimension ref="A1:D11"/>
  <sheetViews>
    <sheetView workbookViewId="0">
      <selection activeCell="D11" sqref="D11"/>
    </sheetView>
  </sheetViews>
  <sheetFormatPr defaultRowHeight="14.25" x14ac:dyDescent="0.2"/>
  <cols>
    <col min="1" max="1" width="29.125" bestFit="1" customWidth="1"/>
    <col min="2" max="2" width="12.375" bestFit="1" customWidth="1"/>
    <col min="3" max="3" width="12.5" bestFit="1" customWidth="1"/>
    <col min="4" max="4" width="8.875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53</v>
      </c>
    </row>
    <row r="2" spans="1:4" x14ac:dyDescent="0.2">
      <c r="A2" s="47" t="s">
        <v>330</v>
      </c>
      <c r="B2" s="48">
        <v>54</v>
      </c>
      <c r="C2" s="48">
        <v>26</v>
      </c>
      <c r="D2" s="49">
        <v>1</v>
      </c>
    </row>
    <row r="3" spans="1:4" x14ac:dyDescent="0.2">
      <c r="A3" s="50" t="s">
        <v>331</v>
      </c>
      <c r="B3" s="51">
        <v>67</v>
      </c>
      <c r="C3" s="51">
        <v>59</v>
      </c>
      <c r="D3" s="52">
        <v>1</v>
      </c>
    </row>
    <row r="4" spans="1:4" x14ac:dyDescent="0.2">
      <c r="A4" s="47" t="s">
        <v>332</v>
      </c>
      <c r="B4" s="48">
        <v>41</v>
      </c>
      <c r="C4" s="48">
        <v>18</v>
      </c>
      <c r="D4" s="49">
        <v>2</v>
      </c>
    </row>
    <row r="5" spans="1:4" x14ac:dyDescent="0.2">
      <c r="A5" s="50" t="s">
        <v>333</v>
      </c>
      <c r="B5" s="51">
        <v>48</v>
      </c>
      <c r="C5" s="51">
        <v>3</v>
      </c>
      <c r="D5" s="52">
        <v>2</v>
      </c>
    </row>
    <row r="6" spans="1:4" x14ac:dyDescent="0.2">
      <c r="A6" s="47" t="s">
        <v>334</v>
      </c>
      <c r="B6" s="48">
        <v>23</v>
      </c>
      <c r="C6" s="48">
        <v>47</v>
      </c>
      <c r="D6" s="49">
        <v>3</v>
      </c>
    </row>
    <row r="7" spans="1:4" x14ac:dyDescent="0.2">
      <c r="A7" s="50" t="s">
        <v>335</v>
      </c>
      <c r="B7" s="51">
        <v>16</v>
      </c>
      <c r="C7" s="51">
        <v>12</v>
      </c>
      <c r="D7" s="52">
        <v>3</v>
      </c>
    </row>
    <row r="8" spans="1:4" x14ac:dyDescent="0.2">
      <c r="A8" s="47" t="s">
        <v>336</v>
      </c>
      <c r="B8" s="48">
        <v>91</v>
      </c>
      <c r="C8" s="48">
        <v>57</v>
      </c>
      <c r="D8" s="49">
        <v>3</v>
      </c>
    </row>
    <row r="9" spans="1:4" x14ac:dyDescent="0.2">
      <c r="A9" s="53" t="s">
        <v>337</v>
      </c>
      <c r="B9" s="54">
        <v>110</v>
      </c>
      <c r="C9" s="54">
        <v>45</v>
      </c>
      <c r="D9" s="55">
        <v>4</v>
      </c>
    </row>
    <row r="11" spans="1:4" x14ac:dyDescent="0.2">
      <c r="A11" s="58" t="str">
        <f>"总时长："&amp;TEXT(SUM(B:B)/1440+SUM(C:C)/86400,"[h]:mm:ss")</f>
        <v>总时长：7:34:27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8CD0-73B6-411F-82CC-0DBAA39229A0}">
  <sheetPr codeName="Sheet17"/>
  <dimension ref="A1:F46"/>
  <sheetViews>
    <sheetView workbookViewId="0">
      <pane xSplit="4" ySplit="1" topLeftCell="E32" activePane="bottomRight" state="frozen"/>
      <selection pane="topRight" activeCell="E1" sqref="E1"/>
      <selection pane="bottomLeft" activeCell="A2" sqref="A2"/>
      <selection pane="bottomRight" activeCell="F45" sqref="F45"/>
    </sheetView>
  </sheetViews>
  <sheetFormatPr defaultRowHeight="14.25" x14ac:dyDescent="0.2"/>
  <cols>
    <col min="1" max="1" width="30.375" customWidth="1"/>
  </cols>
  <sheetData>
    <row r="1" spans="1:6" x14ac:dyDescent="0.2">
      <c r="A1" s="13" t="s">
        <v>35</v>
      </c>
      <c r="B1" s="14" t="s">
        <v>36</v>
      </c>
      <c r="C1" s="14" t="s">
        <v>37</v>
      </c>
      <c r="D1" s="15" t="s">
        <v>53</v>
      </c>
      <c r="F1" s="23" t="s">
        <v>543</v>
      </c>
    </row>
    <row r="2" spans="1:6" x14ac:dyDescent="0.2">
      <c r="A2" t="s">
        <v>499</v>
      </c>
      <c r="B2" s="57">
        <v>23</v>
      </c>
      <c r="C2" s="57">
        <v>57</v>
      </c>
      <c r="D2" s="45">
        <v>1</v>
      </c>
    </row>
    <row r="3" spans="1:6" x14ac:dyDescent="0.2">
      <c r="A3" t="s">
        <v>500</v>
      </c>
      <c r="B3" s="57">
        <v>22</v>
      </c>
      <c r="C3" s="57">
        <v>5</v>
      </c>
      <c r="D3" s="45">
        <v>1</v>
      </c>
    </row>
    <row r="4" spans="1:6" x14ac:dyDescent="0.2">
      <c r="A4" t="s">
        <v>501</v>
      </c>
      <c r="B4" s="57">
        <v>48</v>
      </c>
      <c r="C4" s="57">
        <v>15</v>
      </c>
      <c r="D4" s="45">
        <v>1</v>
      </c>
    </row>
    <row r="5" spans="1:6" x14ac:dyDescent="0.2">
      <c r="A5" t="s">
        <v>502</v>
      </c>
      <c r="B5" s="57">
        <v>40</v>
      </c>
      <c r="C5" s="57">
        <v>9</v>
      </c>
      <c r="D5" s="45">
        <v>1</v>
      </c>
    </row>
    <row r="6" spans="1:6" x14ac:dyDescent="0.2">
      <c r="A6" t="s">
        <v>503</v>
      </c>
      <c r="B6" s="57">
        <v>7</v>
      </c>
      <c r="C6" s="57">
        <v>46</v>
      </c>
      <c r="D6" s="45">
        <v>1</v>
      </c>
    </row>
    <row r="7" spans="1:6" x14ac:dyDescent="0.2">
      <c r="A7" t="s">
        <v>504</v>
      </c>
      <c r="B7" s="57">
        <v>47</v>
      </c>
      <c r="C7" s="57">
        <v>50</v>
      </c>
      <c r="D7" s="45">
        <v>2</v>
      </c>
    </row>
    <row r="8" spans="1:6" x14ac:dyDescent="0.2">
      <c r="A8" t="s">
        <v>505</v>
      </c>
      <c r="B8" s="57">
        <v>38</v>
      </c>
      <c r="C8" s="57">
        <v>26</v>
      </c>
      <c r="D8" s="45">
        <v>3</v>
      </c>
    </row>
    <row r="9" spans="1:6" x14ac:dyDescent="0.2">
      <c r="A9" t="s">
        <v>506</v>
      </c>
      <c r="B9" s="57">
        <v>84</v>
      </c>
      <c r="C9" s="57">
        <v>18</v>
      </c>
      <c r="D9" s="45">
        <v>3</v>
      </c>
    </row>
    <row r="10" spans="1:6" x14ac:dyDescent="0.2">
      <c r="A10" t="s">
        <v>507</v>
      </c>
      <c r="B10" s="57">
        <v>17</v>
      </c>
      <c r="C10" s="57">
        <v>25</v>
      </c>
      <c r="D10" s="45">
        <v>3</v>
      </c>
    </row>
    <row r="11" spans="1:6" x14ac:dyDescent="0.2">
      <c r="A11" t="s">
        <v>508</v>
      </c>
      <c r="B11" s="57">
        <v>112</v>
      </c>
      <c r="C11" s="57">
        <v>57</v>
      </c>
      <c r="D11" s="62">
        <v>4</v>
      </c>
    </row>
    <row r="12" spans="1:6" x14ac:dyDescent="0.2">
      <c r="A12" t="s">
        <v>509</v>
      </c>
      <c r="B12" s="57">
        <v>33</v>
      </c>
      <c r="C12" s="57">
        <v>49</v>
      </c>
      <c r="D12" s="45">
        <v>5</v>
      </c>
    </row>
    <row r="13" spans="1:6" x14ac:dyDescent="0.2">
      <c r="A13" t="s">
        <v>510</v>
      </c>
      <c r="B13" s="57">
        <v>54</v>
      </c>
      <c r="C13" s="57">
        <v>9</v>
      </c>
      <c r="D13" s="45">
        <v>5</v>
      </c>
    </row>
    <row r="14" spans="1:6" x14ac:dyDescent="0.2">
      <c r="A14" t="s">
        <v>511</v>
      </c>
      <c r="B14" s="57">
        <v>71</v>
      </c>
      <c r="C14" s="57">
        <v>2</v>
      </c>
      <c r="D14" s="45">
        <v>5</v>
      </c>
    </row>
    <row r="15" spans="1:6" x14ac:dyDescent="0.2">
      <c r="A15" t="s">
        <v>512</v>
      </c>
      <c r="B15" s="57">
        <v>57</v>
      </c>
      <c r="C15" s="57">
        <v>59</v>
      </c>
      <c r="D15" s="45">
        <v>6</v>
      </c>
    </row>
    <row r="16" spans="1:6" x14ac:dyDescent="0.2">
      <c r="A16" t="s">
        <v>513</v>
      </c>
      <c r="B16" s="57">
        <v>34</v>
      </c>
      <c r="C16" s="57">
        <v>48</v>
      </c>
      <c r="D16" s="45">
        <v>6</v>
      </c>
    </row>
    <row r="17" spans="1:4" x14ac:dyDescent="0.2">
      <c r="A17" t="s">
        <v>514</v>
      </c>
      <c r="B17" s="57">
        <v>44</v>
      </c>
      <c r="C17" s="57">
        <v>14</v>
      </c>
      <c r="D17" s="45">
        <v>7</v>
      </c>
    </row>
    <row r="18" spans="1:4" x14ac:dyDescent="0.2">
      <c r="A18" t="s">
        <v>515</v>
      </c>
      <c r="B18" s="57">
        <v>41</v>
      </c>
      <c r="C18" s="57">
        <v>25</v>
      </c>
      <c r="D18" s="45">
        <v>7</v>
      </c>
    </row>
    <row r="19" spans="1:4" x14ac:dyDescent="0.2">
      <c r="A19" t="s">
        <v>516</v>
      </c>
      <c r="B19" s="57">
        <v>34</v>
      </c>
      <c r="C19" s="57">
        <v>9</v>
      </c>
      <c r="D19" s="45">
        <v>7</v>
      </c>
    </row>
    <row r="20" spans="1:4" x14ac:dyDescent="0.2">
      <c r="A20" t="s">
        <v>517</v>
      </c>
      <c r="B20" s="57">
        <v>41</v>
      </c>
      <c r="C20" s="57">
        <v>54</v>
      </c>
      <c r="D20" s="45">
        <v>7</v>
      </c>
    </row>
    <row r="21" spans="1:4" x14ac:dyDescent="0.2">
      <c r="A21" t="s">
        <v>518</v>
      </c>
      <c r="B21" s="57">
        <v>12</v>
      </c>
      <c r="C21" s="57">
        <v>19</v>
      </c>
      <c r="D21" s="45">
        <v>7</v>
      </c>
    </row>
    <row r="22" spans="1:4" x14ac:dyDescent="0.2">
      <c r="A22" t="s">
        <v>519</v>
      </c>
      <c r="B22" s="57">
        <v>27</v>
      </c>
      <c r="C22" s="57">
        <v>31</v>
      </c>
      <c r="D22" s="45">
        <v>8</v>
      </c>
    </row>
    <row r="23" spans="1:4" x14ac:dyDescent="0.2">
      <c r="A23" t="s">
        <v>520</v>
      </c>
      <c r="B23" s="63">
        <v>26</v>
      </c>
      <c r="C23" s="63">
        <v>43</v>
      </c>
      <c r="D23" s="45">
        <v>8</v>
      </c>
    </row>
    <row r="24" spans="1:4" x14ac:dyDescent="0.2">
      <c r="A24" t="s">
        <v>521</v>
      </c>
      <c r="B24" s="63">
        <v>94</v>
      </c>
      <c r="C24" s="63">
        <v>32</v>
      </c>
      <c r="D24" s="45">
        <v>8</v>
      </c>
    </row>
    <row r="25" spans="1:4" x14ac:dyDescent="0.2">
      <c r="A25" t="s">
        <v>522</v>
      </c>
      <c r="B25" s="57">
        <v>24</v>
      </c>
      <c r="C25" s="57">
        <v>19</v>
      </c>
      <c r="D25" s="45">
        <v>9</v>
      </c>
    </row>
    <row r="26" spans="1:4" x14ac:dyDescent="0.2">
      <c r="A26" t="s">
        <v>523</v>
      </c>
      <c r="B26" s="57">
        <v>39</v>
      </c>
      <c r="C26" s="57">
        <v>22</v>
      </c>
      <c r="D26" s="45">
        <v>10</v>
      </c>
    </row>
    <row r="27" spans="1:4" x14ac:dyDescent="0.2">
      <c r="A27" t="s">
        <v>524</v>
      </c>
      <c r="B27" s="63">
        <v>43</v>
      </c>
      <c r="C27" s="63">
        <v>7</v>
      </c>
      <c r="D27" s="45">
        <v>11</v>
      </c>
    </row>
    <row r="28" spans="1:4" x14ac:dyDescent="0.2">
      <c r="A28" t="s">
        <v>525</v>
      </c>
      <c r="B28" s="57">
        <v>48</v>
      </c>
      <c r="C28" s="57">
        <v>12</v>
      </c>
      <c r="D28" s="45">
        <v>12</v>
      </c>
    </row>
    <row r="29" spans="1:4" x14ac:dyDescent="0.2">
      <c r="A29" t="s">
        <v>526</v>
      </c>
      <c r="B29" s="63">
        <v>28</v>
      </c>
      <c r="C29" s="63">
        <v>28</v>
      </c>
      <c r="D29" s="45">
        <v>12</v>
      </c>
    </row>
    <row r="30" spans="1:4" x14ac:dyDescent="0.2">
      <c r="A30" t="s">
        <v>527</v>
      </c>
      <c r="B30" s="63">
        <v>40</v>
      </c>
      <c r="C30" s="63">
        <v>26</v>
      </c>
      <c r="D30" s="45">
        <v>12</v>
      </c>
    </row>
    <row r="31" spans="1:4" x14ac:dyDescent="0.2">
      <c r="A31" t="s">
        <v>528</v>
      </c>
      <c r="B31" s="63">
        <v>37</v>
      </c>
      <c r="C31" s="63">
        <v>59</v>
      </c>
      <c r="D31" s="45">
        <v>13</v>
      </c>
    </row>
    <row r="32" spans="1:4" x14ac:dyDescent="0.2">
      <c r="A32" t="s">
        <v>529</v>
      </c>
      <c r="B32" s="63">
        <v>10</v>
      </c>
      <c r="C32" s="63">
        <v>22</v>
      </c>
      <c r="D32" s="45">
        <v>13</v>
      </c>
    </row>
    <row r="33" spans="1:4" x14ac:dyDescent="0.2">
      <c r="A33" t="s">
        <v>530</v>
      </c>
      <c r="B33" s="63">
        <v>39</v>
      </c>
      <c r="C33" s="63">
        <v>40</v>
      </c>
      <c r="D33" s="45">
        <v>14</v>
      </c>
    </row>
    <row r="34" spans="1:4" x14ac:dyDescent="0.2">
      <c r="A34" t="s">
        <v>531</v>
      </c>
      <c r="B34" s="63">
        <v>46</v>
      </c>
      <c r="C34" s="63">
        <v>33</v>
      </c>
      <c r="D34" s="45">
        <v>14</v>
      </c>
    </row>
    <row r="35" spans="1:4" x14ac:dyDescent="0.2">
      <c r="A35" t="s">
        <v>532</v>
      </c>
      <c r="B35" s="57">
        <v>98</v>
      </c>
      <c r="C35" s="57">
        <v>10</v>
      </c>
      <c r="D35" s="45">
        <v>15</v>
      </c>
    </row>
    <row r="36" spans="1:4" x14ac:dyDescent="0.2">
      <c r="A36" t="s">
        <v>533</v>
      </c>
      <c r="B36" s="57">
        <v>23</v>
      </c>
      <c r="C36" s="57">
        <v>50</v>
      </c>
      <c r="D36" s="45">
        <v>16</v>
      </c>
    </row>
    <row r="37" spans="1:4" x14ac:dyDescent="0.2">
      <c r="A37" t="s">
        <v>534</v>
      </c>
      <c r="B37" s="57">
        <v>14</v>
      </c>
      <c r="C37" s="57">
        <v>43</v>
      </c>
      <c r="D37" s="45">
        <v>16</v>
      </c>
    </row>
    <row r="38" spans="1:4" x14ac:dyDescent="0.2">
      <c r="A38" t="s">
        <v>535</v>
      </c>
      <c r="B38" s="63">
        <v>12</v>
      </c>
      <c r="C38" s="63">
        <v>36</v>
      </c>
      <c r="D38" s="45">
        <v>16</v>
      </c>
    </row>
    <row r="39" spans="1:4" x14ac:dyDescent="0.2">
      <c r="A39" t="s">
        <v>536</v>
      </c>
      <c r="B39" s="57">
        <v>17</v>
      </c>
      <c r="C39" s="57">
        <v>11</v>
      </c>
      <c r="D39" s="45">
        <v>16</v>
      </c>
    </row>
    <row r="40" spans="1:4" x14ac:dyDescent="0.2">
      <c r="A40" t="s">
        <v>537</v>
      </c>
      <c r="B40" s="57">
        <v>14</v>
      </c>
      <c r="C40" s="57">
        <v>53</v>
      </c>
      <c r="D40" s="45">
        <v>16</v>
      </c>
    </row>
    <row r="41" spans="1:4" x14ac:dyDescent="0.2">
      <c r="A41" t="s">
        <v>538</v>
      </c>
      <c r="B41" s="63">
        <v>55</v>
      </c>
      <c r="C41" s="63">
        <v>43</v>
      </c>
      <c r="D41" s="45">
        <v>17</v>
      </c>
    </row>
    <row r="42" spans="1:4" x14ac:dyDescent="0.2">
      <c r="A42" t="s">
        <v>539</v>
      </c>
      <c r="B42" s="63">
        <v>23</v>
      </c>
      <c r="C42" s="63">
        <v>43</v>
      </c>
      <c r="D42" s="45">
        <v>18</v>
      </c>
    </row>
    <row r="43" spans="1:4" x14ac:dyDescent="0.2">
      <c r="A43" t="s">
        <v>540</v>
      </c>
      <c r="B43" s="63">
        <v>6</v>
      </c>
      <c r="C43" s="63">
        <v>9</v>
      </c>
      <c r="D43" s="45">
        <v>18</v>
      </c>
    </row>
    <row r="44" spans="1:4" x14ac:dyDescent="0.2">
      <c r="A44" t="s">
        <v>541</v>
      </c>
      <c r="B44" s="63">
        <v>5</v>
      </c>
      <c r="C44" s="63">
        <v>27</v>
      </c>
      <c r="D44" s="45">
        <v>18</v>
      </c>
    </row>
    <row r="45" spans="1:4" x14ac:dyDescent="0.2">
      <c r="A45" s="33" t="s">
        <v>542</v>
      </c>
      <c r="B45" s="63">
        <v>32</v>
      </c>
      <c r="C45" s="63">
        <v>30</v>
      </c>
      <c r="D45" s="45">
        <v>18</v>
      </c>
    </row>
    <row r="46" spans="1:4" x14ac:dyDescent="0.2">
      <c r="A46" s="1" t="str">
        <f>"总时长："&amp;TEXT(SUM(B:B)/1440+SUM(C:C)/86400,"[h]:mm:ss")</f>
        <v>总时长：28:01:05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D58B-B7D0-4ABE-B71F-06475D33804E}">
  <sheetPr codeName="Sheet16"/>
  <dimension ref="A1:D21"/>
  <sheetViews>
    <sheetView workbookViewId="0">
      <selection activeCell="A18" sqref="A18"/>
    </sheetView>
  </sheetViews>
  <sheetFormatPr defaultRowHeight="14.25" x14ac:dyDescent="0.2"/>
  <cols>
    <col min="1" max="1" width="27.375" customWidth="1"/>
    <col min="2" max="2" width="8.375" bestFit="1" customWidth="1"/>
    <col min="3" max="3" width="8.5" bestFit="1" customWidth="1"/>
    <col min="4" max="4" width="4.875" bestFit="1" customWidth="1"/>
  </cols>
  <sheetData>
    <row r="1" spans="1:4" x14ac:dyDescent="0.2">
      <c r="A1" s="13" t="s">
        <v>35</v>
      </c>
      <c r="B1" s="14" t="s">
        <v>36</v>
      </c>
      <c r="C1" s="14" t="s">
        <v>37</v>
      </c>
      <c r="D1" s="15" t="s">
        <v>53</v>
      </c>
    </row>
    <row r="2" spans="1:4" x14ac:dyDescent="0.2">
      <c r="A2" s="23" t="s">
        <v>580</v>
      </c>
    </row>
    <row r="3" spans="1:4" x14ac:dyDescent="0.2">
      <c r="A3" t="s">
        <v>583</v>
      </c>
      <c r="B3" s="57">
        <v>30</v>
      </c>
      <c r="C3" s="57">
        <v>52</v>
      </c>
      <c r="D3" s="45">
        <v>1</v>
      </c>
    </row>
    <row r="4" spans="1:4" x14ac:dyDescent="0.2">
      <c r="A4" t="s">
        <v>584</v>
      </c>
      <c r="B4" s="57">
        <v>24</v>
      </c>
      <c r="C4" s="57">
        <v>7</v>
      </c>
      <c r="D4" s="45">
        <v>1</v>
      </c>
    </row>
    <row r="5" spans="1:4" x14ac:dyDescent="0.2">
      <c r="A5" t="s">
        <v>585</v>
      </c>
      <c r="B5" s="57">
        <v>55</v>
      </c>
      <c r="C5" s="57">
        <v>35</v>
      </c>
      <c r="D5" s="45">
        <v>1</v>
      </c>
    </row>
    <row r="6" spans="1:4" x14ac:dyDescent="0.2">
      <c r="A6" t="s">
        <v>586</v>
      </c>
      <c r="B6" s="57">
        <v>1</v>
      </c>
      <c r="C6" s="57">
        <v>43</v>
      </c>
      <c r="D6" s="45">
        <v>1</v>
      </c>
    </row>
    <row r="7" spans="1:4" x14ac:dyDescent="0.2">
      <c r="A7" t="s">
        <v>587</v>
      </c>
      <c r="B7" s="57">
        <v>55</v>
      </c>
      <c r="C7" s="57">
        <v>51</v>
      </c>
      <c r="D7" s="45">
        <v>2</v>
      </c>
    </row>
    <row r="8" spans="1:4" x14ac:dyDescent="0.2">
      <c r="A8" t="s">
        <v>588</v>
      </c>
      <c r="B8" s="57">
        <v>58</v>
      </c>
      <c r="C8" s="57">
        <v>52</v>
      </c>
      <c r="D8" s="45">
        <v>2</v>
      </c>
    </row>
    <row r="9" spans="1:4" x14ac:dyDescent="0.2">
      <c r="A9" s="23" t="s">
        <v>581</v>
      </c>
      <c r="D9" s="25"/>
    </row>
    <row r="10" spans="1:4" x14ac:dyDescent="0.2">
      <c r="A10" t="s">
        <v>589</v>
      </c>
      <c r="B10" s="57">
        <v>24</v>
      </c>
      <c r="C10" s="57">
        <v>38</v>
      </c>
      <c r="D10" s="45">
        <v>2</v>
      </c>
    </row>
    <row r="11" spans="1:4" x14ac:dyDescent="0.2">
      <c r="A11" t="s">
        <v>590</v>
      </c>
      <c r="B11" s="57">
        <v>29</v>
      </c>
      <c r="C11" s="57">
        <v>51</v>
      </c>
      <c r="D11" s="45">
        <v>2</v>
      </c>
    </row>
    <row r="12" spans="1:4" x14ac:dyDescent="0.2">
      <c r="A12" t="s">
        <v>591</v>
      </c>
      <c r="B12" s="57">
        <v>17</v>
      </c>
      <c r="C12" s="57">
        <v>57</v>
      </c>
      <c r="D12" s="45">
        <v>3</v>
      </c>
    </row>
    <row r="13" spans="1:4" x14ac:dyDescent="0.2">
      <c r="A13" t="s">
        <v>592</v>
      </c>
      <c r="B13" s="57">
        <v>20</v>
      </c>
      <c r="C13" s="57">
        <v>28</v>
      </c>
      <c r="D13" s="45">
        <v>3</v>
      </c>
    </row>
    <row r="14" spans="1:4" x14ac:dyDescent="0.2">
      <c r="A14" t="s">
        <v>593</v>
      </c>
      <c r="B14" s="57">
        <v>24</v>
      </c>
      <c r="C14" s="57">
        <v>21</v>
      </c>
      <c r="D14" s="45">
        <v>3</v>
      </c>
    </row>
    <row r="15" spans="1:4" x14ac:dyDescent="0.2">
      <c r="A15" s="23" t="s">
        <v>582</v>
      </c>
      <c r="D15" s="25"/>
    </row>
    <row r="16" spans="1:4" x14ac:dyDescent="0.2">
      <c r="A16" t="s">
        <v>594</v>
      </c>
      <c r="B16" s="63">
        <v>41</v>
      </c>
      <c r="C16" s="63">
        <v>7</v>
      </c>
      <c r="D16" s="45">
        <v>3</v>
      </c>
    </row>
    <row r="17" spans="1:4" x14ac:dyDescent="0.2">
      <c r="A17" t="s">
        <v>595</v>
      </c>
      <c r="B17" s="63">
        <v>20</v>
      </c>
      <c r="C17" s="63">
        <v>20</v>
      </c>
      <c r="D17" s="45">
        <v>3</v>
      </c>
    </row>
    <row r="18" spans="1:4" x14ac:dyDescent="0.2">
      <c r="A18" t="s">
        <v>596</v>
      </c>
      <c r="B18" s="57">
        <v>46</v>
      </c>
      <c r="C18" s="57">
        <v>4</v>
      </c>
      <c r="D18" s="45">
        <v>4</v>
      </c>
    </row>
    <row r="19" spans="1:4" x14ac:dyDescent="0.2">
      <c r="A19" t="s">
        <v>597</v>
      </c>
      <c r="B19" s="63">
        <v>25</v>
      </c>
      <c r="C19" s="63">
        <v>25</v>
      </c>
      <c r="D19" s="45">
        <v>4</v>
      </c>
    </row>
    <row r="20" spans="1:4" x14ac:dyDescent="0.2">
      <c r="A20" t="s">
        <v>598</v>
      </c>
      <c r="B20" s="63">
        <v>10</v>
      </c>
      <c r="C20" s="63">
        <v>11</v>
      </c>
      <c r="D20" s="45">
        <v>4</v>
      </c>
    </row>
    <row r="21" spans="1:4" x14ac:dyDescent="0.2">
      <c r="A21" s="37" t="str">
        <f>"总时长："&amp;TEXT(SUM(B:B)/1440+SUM(C:C)/86400,"[h]:mm:ss")</f>
        <v>总时长：8:07:22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C62C-B5D1-4E72-812F-7EA03DA117C7}">
  <dimension ref="A1:G69"/>
  <sheetViews>
    <sheetView workbookViewId="0">
      <pane xSplit="5" ySplit="1" topLeftCell="F32" activePane="bottomRight" state="frozen"/>
      <selection pane="topRight" activeCell="E1" sqref="E1"/>
      <selection pane="bottomLeft" activeCell="A2" sqref="A2"/>
      <selection pane="bottomRight" activeCell="D63" sqref="D63:D68"/>
    </sheetView>
  </sheetViews>
  <sheetFormatPr defaultRowHeight="14.25" x14ac:dyDescent="0.2"/>
  <cols>
    <col min="1" max="1" width="29.875" bestFit="1" customWidth="1"/>
    <col min="3" max="3" width="9.375" customWidth="1"/>
    <col min="5" max="5" width="9.375" customWidth="1"/>
    <col min="6" max="6" width="10.5" bestFit="1" customWidth="1"/>
  </cols>
  <sheetData>
    <row r="1" spans="1:7" ht="19.5" x14ac:dyDescent="0.2">
      <c r="A1" s="13" t="s">
        <v>35</v>
      </c>
      <c r="B1" s="14" t="s">
        <v>36</v>
      </c>
      <c r="C1" s="14" t="s">
        <v>37</v>
      </c>
      <c r="D1" s="15" t="s">
        <v>892</v>
      </c>
      <c r="E1" s="14" t="s">
        <v>53</v>
      </c>
      <c r="G1" s="31" t="s">
        <v>889</v>
      </c>
    </row>
    <row r="2" spans="1:7" x14ac:dyDescent="0.2">
      <c r="A2" s="60" t="s">
        <v>653</v>
      </c>
    </row>
    <row r="3" spans="1:7" x14ac:dyDescent="0.2">
      <c r="A3" t="s">
        <v>719</v>
      </c>
      <c r="B3" s="57">
        <v>5</v>
      </c>
      <c r="C3" s="57">
        <v>45</v>
      </c>
      <c r="D3" s="86">
        <f t="shared" ref="D3:D21" si="0">B3/60/24+C3/3600/24</f>
        <v>3.9930555555555552E-3</v>
      </c>
      <c r="E3" s="45">
        <v>1</v>
      </c>
    </row>
    <row r="4" spans="1:7" x14ac:dyDescent="0.2">
      <c r="A4" t="s">
        <v>654</v>
      </c>
      <c r="B4" s="57">
        <v>42</v>
      </c>
      <c r="C4" s="57">
        <v>51</v>
      </c>
      <c r="D4" s="86">
        <f t="shared" si="0"/>
        <v>2.975694444444444E-2</v>
      </c>
      <c r="E4" s="45">
        <v>2</v>
      </c>
    </row>
    <row r="5" spans="1:7" x14ac:dyDescent="0.2">
      <c r="A5" t="s">
        <v>655</v>
      </c>
      <c r="B5" s="57">
        <v>41</v>
      </c>
      <c r="C5" s="57">
        <v>23</v>
      </c>
      <c r="D5" s="86">
        <f t="shared" si="0"/>
        <v>2.8738425925925924E-2</v>
      </c>
      <c r="E5" s="45">
        <v>2</v>
      </c>
    </row>
    <row r="6" spans="1:7" x14ac:dyDescent="0.2">
      <c r="A6" t="s">
        <v>656</v>
      </c>
      <c r="B6" s="57">
        <v>16</v>
      </c>
      <c r="C6" s="57">
        <v>11</v>
      </c>
      <c r="D6" s="86">
        <f t="shared" si="0"/>
        <v>1.1238425925925926E-2</v>
      </c>
      <c r="E6" s="45">
        <v>2</v>
      </c>
    </row>
    <row r="7" spans="1:7" x14ac:dyDescent="0.2">
      <c r="A7" t="s">
        <v>657</v>
      </c>
      <c r="B7" s="57">
        <v>51</v>
      </c>
      <c r="C7" s="57">
        <v>16</v>
      </c>
      <c r="D7" s="86">
        <f t="shared" si="0"/>
        <v>3.560185185185185E-2</v>
      </c>
      <c r="E7" s="45">
        <v>3</v>
      </c>
    </row>
    <row r="8" spans="1:7" x14ac:dyDescent="0.2">
      <c r="A8" t="s">
        <v>658</v>
      </c>
      <c r="B8" s="57">
        <v>40</v>
      </c>
      <c r="C8" s="57">
        <v>43</v>
      </c>
      <c r="D8" s="86">
        <f t="shared" si="0"/>
        <v>2.8275462962962961E-2</v>
      </c>
      <c r="E8" s="45">
        <v>4</v>
      </c>
    </row>
    <row r="9" spans="1:7" x14ac:dyDescent="0.2">
      <c r="A9" t="s">
        <v>718</v>
      </c>
      <c r="B9" s="57">
        <v>21</v>
      </c>
      <c r="C9" s="57">
        <v>2</v>
      </c>
      <c r="D9" s="86">
        <f t="shared" si="0"/>
        <v>1.4606481481481481E-2</v>
      </c>
      <c r="E9" s="45">
        <v>4</v>
      </c>
    </row>
    <row r="10" spans="1:7" x14ac:dyDescent="0.2">
      <c r="A10" t="s">
        <v>659</v>
      </c>
      <c r="B10" s="57">
        <v>21</v>
      </c>
      <c r="C10" s="57">
        <v>45</v>
      </c>
      <c r="D10" s="86">
        <f t="shared" si="0"/>
        <v>1.5104166666666665E-2</v>
      </c>
      <c r="E10" s="45">
        <v>4</v>
      </c>
    </row>
    <row r="11" spans="1:7" x14ac:dyDescent="0.2">
      <c r="A11" t="s">
        <v>660</v>
      </c>
      <c r="B11" s="57">
        <v>38</v>
      </c>
      <c r="C11" s="57">
        <v>4</v>
      </c>
      <c r="D11" s="86">
        <f t="shared" si="0"/>
        <v>2.6435185185185187E-2</v>
      </c>
      <c r="E11" s="45">
        <v>5</v>
      </c>
    </row>
    <row r="12" spans="1:7" x14ac:dyDescent="0.2">
      <c r="A12" t="s">
        <v>661</v>
      </c>
      <c r="B12" s="57">
        <v>51</v>
      </c>
      <c r="C12" s="57">
        <v>0</v>
      </c>
      <c r="D12" s="86">
        <f t="shared" si="0"/>
        <v>3.5416666666666666E-2</v>
      </c>
      <c r="E12" s="45">
        <v>5</v>
      </c>
    </row>
    <row r="13" spans="1:7" x14ac:dyDescent="0.2">
      <c r="A13" t="s">
        <v>662</v>
      </c>
      <c r="B13" s="57">
        <v>48</v>
      </c>
      <c r="C13" s="57">
        <v>43</v>
      </c>
      <c r="D13" s="86">
        <f t="shared" si="0"/>
        <v>3.3831018518518517E-2</v>
      </c>
      <c r="E13" s="45">
        <v>5</v>
      </c>
    </row>
    <row r="14" spans="1:7" x14ac:dyDescent="0.2">
      <c r="A14" t="s">
        <v>663</v>
      </c>
      <c r="B14" s="57">
        <v>24</v>
      </c>
      <c r="C14" s="57">
        <v>25</v>
      </c>
      <c r="D14" s="86">
        <f t="shared" si="0"/>
        <v>1.695601851851852E-2</v>
      </c>
      <c r="E14" s="45">
        <v>6</v>
      </c>
    </row>
    <row r="15" spans="1:7" x14ac:dyDescent="0.2">
      <c r="A15" t="s">
        <v>664</v>
      </c>
      <c r="B15" s="57">
        <v>44</v>
      </c>
      <c r="C15" s="57">
        <v>49</v>
      </c>
      <c r="D15" s="86">
        <f t="shared" si="0"/>
        <v>3.1122685185185184E-2</v>
      </c>
      <c r="E15" s="45">
        <v>6</v>
      </c>
    </row>
    <row r="16" spans="1:7" x14ac:dyDescent="0.2">
      <c r="A16" t="s">
        <v>665</v>
      </c>
      <c r="B16" s="57">
        <v>21</v>
      </c>
      <c r="C16" s="57">
        <v>47</v>
      </c>
      <c r="D16" s="86">
        <f t="shared" si="0"/>
        <v>1.5127314814814814E-2</v>
      </c>
      <c r="E16" s="45">
        <v>6</v>
      </c>
    </row>
    <row r="17" spans="1:6" x14ac:dyDescent="0.2">
      <c r="A17" t="s">
        <v>666</v>
      </c>
      <c r="B17" s="57">
        <v>26</v>
      </c>
      <c r="C17" s="57">
        <v>46</v>
      </c>
      <c r="D17" s="86">
        <f t="shared" si="0"/>
        <v>1.8587962962962966E-2</v>
      </c>
      <c r="E17" s="45">
        <v>6</v>
      </c>
    </row>
    <row r="18" spans="1:6" x14ac:dyDescent="0.2">
      <c r="A18" t="s">
        <v>667</v>
      </c>
      <c r="B18" s="57">
        <v>24</v>
      </c>
      <c r="C18" s="57">
        <v>55</v>
      </c>
      <c r="D18" s="86">
        <f t="shared" si="0"/>
        <v>1.7303240740740741E-2</v>
      </c>
      <c r="E18" s="45">
        <v>6</v>
      </c>
    </row>
    <row r="19" spans="1:6" x14ac:dyDescent="0.2">
      <c r="A19" t="s">
        <v>668</v>
      </c>
      <c r="B19" s="57">
        <v>14</v>
      </c>
      <c r="C19" s="57">
        <v>37</v>
      </c>
      <c r="D19" s="86">
        <f t="shared" si="0"/>
        <v>1.0150462962962964E-2</v>
      </c>
      <c r="E19" s="45">
        <v>6</v>
      </c>
    </row>
    <row r="20" spans="1:6" x14ac:dyDescent="0.2">
      <c r="A20" t="s">
        <v>669</v>
      </c>
      <c r="B20" s="63">
        <v>17</v>
      </c>
      <c r="C20" s="63">
        <v>39</v>
      </c>
      <c r="D20" s="81">
        <f t="shared" si="0"/>
        <v>1.2256944444444444E-2</v>
      </c>
      <c r="E20" s="45">
        <v>7</v>
      </c>
    </row>
    <row r="21" spans="1:6" x14ac:dyDescent="0.2">
      <c r="A21" t="s">
        <v>670</v>
      </c>
      <c r="B21" s="26">
        <v>68</v>
      </c>
      <c r="C21" s="26">
        <v>2</v>
      </c>
      <c r="D21" s="82">
        <f t="shared" si="0"/>
        <v>4.7245370370370368E-2</v>
      </c>
      <c r="E21" s="45">
        <v>7</v>
      </c>
    </row>
    <row r="22" spans="1:6" x14ac:dyDescent="0.2">
      <c r="A22" s="60" t="s">
        <v>671</v>
      </c>
      <c r="B22" s="63"/>
      <c r="C22" s="63"/>
      <c r="D22" s="63"/>
      <c r="E22" s="45"/>
    </row>
    <row r="23" spans="1:6" x14ac:dyDescent="0.2">
      <c r="A23" t="s">
        <v>672</v>
      </c>
      <c r="B23" s="63">
        <v>9</v>
      </c>
      <c r="C23" s="63">
        <v>6</v>
      </c>
      <c r="D23" s="81">
        <f t="shared" ref="D23:D30" si="1">B23/60/24+C23/3600/24</f>
        <v>6.3194444444444435E-3</v>
      </c>
      <c r="E23" s="45">
        <v>7</v>
      </c>
    </row>
    <row r="24" spans="1:6" x14ac:dyDescent="0.2">
      <c r="A24" t="s">
        <v>673</v>
      </c>
      <c r="B24" s="63">
        <v>16</v>
      </c>
      <c r="C24" s="63">
        <v>4</v>
      </c>
      <c r="D24" s="81">
        <f t="shared" si="1"/>
        <v>1.1157407407407408E-2</v>
      </c>
      <c r="E24" s="45">
        <v>7</v>
      </c>
    </row>
    <row r="25" spans="1:6" x14ac:dyDescent="0.2">
      <c r="A25" t="s">
        <v>674</v>
      </c>
      <c r="B25" s="63">
        <v>7</v>
      </c>
      <c r="C25" s="63">
        <v>1</v>
      </c>
      <c r="D25" s="81">
        <f t="shared" si="1"/>
        <v>4.8726851851851856E-3</v>
      </c>
      <c r="E25" s="45">
        <v>7</v>
      </c>
    </row>
    <row r="26" spans="1:6" x14ac:dyDescent="0.2">
      <c r="A26" t="s">
        <v>675</v>
      </c>
      <c r="B26" s="63">
        <v>44</v>
      </c>
      <c r="C26" s="63">
        <v>55</v>
      </c>
      <c r="D26" s="81">
        <f t="shared" si="1"/>
        <v>3.1192129629629629E-2</v>
      </c>
      <c r="E26" s="45" t="s">
        <v>1186</v>
      </c>
    </row>
    <row r="27" spans="1:6" x14ac:dyDescent="0.2">
      <c r="A27" t="s">
        <v>676</v>
      </c>
      <c r="B27" s="63">
        <v>37</v>
      </c>
      <c r="C27" s="63">
        <v>21</v>
      </c>
      <c r="D27" s="81">
        <f t="shared" si="1"/>
        <v>2.5937500000000002E-2</v>
      </c>
      <c r="E27" s="45" t="s">
        <v>1186</v>
      </c>
      <c r="F27" s="80">
        <v>43849</v>
      </c>
    </row>
    <row r="28" spans="1:6" x14ac:dyDescent="0.2">
      <c r="A28" t="s">
        <v>677</v>
      </c>
      <c r="B28" s="63">
        <v>27</v>
      </c>
      <c r="C28" s="63">
        <v>14</v>
      </c>
      <c r="D28" s="86">
        <f t="shared" si="1"/>
        <v>1.8912037037037036E-2</v>
      </c>
      <c r="E28" s="45" t="s">
        <v>1187</v>
      </c>
    </row>
    <row r="29" spans="1:6" x14ac:dyDescent="0.2">
      <c r="A29" t="s">
        <v>678</v>
      </c>
      <c r="B29" s="63">
        <v>16</v>
      </c>
      <c r="C29" s="63">
        <v>5</v>
      </c>
      <c r="D29" s="86">
        <f t="shared" si="1"/>
        <v>1.1168981481481481E-2</v>
      </c>
      <c r="E29" s="45" t="s">
        <v>1187</v>
      </c>
    </row>
    <row r="30" spans="1:6" x14ac:dyDescent="0.2">
      <c r="A30" t="s">
        <v>679</v>
      </c>
      <c r="B30" s="63">
        <v>47</v>
      </c>
      <c r="C30" s="63">
        <v>31</v>
      </c>
      <c r="D30" s="86">
        <f t="shared" si="1"/>
        <v>3.2997685185185185E-2</v>
      </c>
      <c r="E30" s="45" t="s">
        <v>1187</v>
      </c>
    </row>
    <row r="31" spans="1:6" x14ac:dyDescent="0.2">
      <c r="A31" s="60" t="s">
        <v>680</v>
      </c>
      <c r="E31" s="25"/>
    </row>
    <row r="32" spans="1:6" x14ac:dyDescent="0.2">
      <c r="A32" t="s">
        <v>681</v>
      </c>
      <c r="B32" s="57">
        <v>24</v>
      </c>
      <c r="C32" s="57">
        <v>12</v>
      </c>
      <c r="D32" s="86">
        <f t="shared" ref="D32:D41" si="2">B32/60/24+C32/3600/24</f>
        <v>1.6805555555555556E-2</v>
      </c>
      <c r="E32" s="45">
        <v>10</v>
      </c>
      <c r="F32" t="s">
        <v>1182</v>
      </c>
    </row>
    <row r="33" spans="1:6" x14ac:dyDescent="0.2">
      <c r="A33" t="s">
        <v>682</v>
      </c>
      <c r="B33" s="57">
        <v>28</v>
      </c>
      <c r="C33" s="57">
        <v>54</v>
      </c>
      <c r="D33" s="86">
        <f t="shared" si="2"/>
        <v>2.0069444444444445E-2</v>
      </c>
      <c r="E33" s="45">
        <v>10</v>
      </c>
    </row>
    <row r="34" spans="1:6" x14ac:dyDescent="0.2">
      <c r="A34" t="s">
        <v>683</v>
      </c>
      <c r="B34" s="57">
        <v>24</v>
      </c>
      <c r="C34" s="57">
        <v>38</v>
      </c>
      <c r="D34" s="86">
        <f t="shared" si="2"/>
        <v>1.7106481481481483E-2</v>
      </c>
      <c r="E34" s="45">
        <v>10</v>
      </c>
    </row>
    <row r="35" spans="1:6" x14ac:dyDescent="0.2">
      <c r="A35" t="s">
        <v>684</v>
      </c>
      <c r="B35" s="57">
        <v>16</v>
      </c>
      <c r="C35" s="57">
        <v>57</v>
      </c>
      <c r="D35" s="86">
        <f t="shared" si="2"/>
        <v>1.1770833333333335E-2</v>
      </c>
      <c r="E35" s="45">
        <v>10</v>
      </c>
    </row>
    <row r="36" spans="1:6" x14ac:dyDescent="0.2">
      <c r="A36" t="s">
        <v>685</v>
      </c>
      <c r="B36" s="57">
        <v>45</v>
      </c>
      <c r="C36" s="57">
        <v>19</v>
      </c>
      <c r="D36" s="86">
        <f t="shared" si="2"/>
        <v>3.1469907407407405E-2</v>
      </c>
      <c r="E36" s="45">
        <v>10</v>
      </c>
    </row>
    <row r="37" spans="1:6" x14ac:dyDescent="0.2">
      <c r="A37" t="s">
        <v>686</v>
      </c>
      <c r="B37" s="57">
        <v>52</v>
      </c>
      <c r="C37" s="57">
        <v>26</v>
      </c>
      <c r="D37" s="86">
        <f t="shared" si="2"/>
        <v>3.6412037037037041E-2</v>
      </c>
      <c r="E37" s="45">
        <v>11</v>
      </c>
    </row>
    <row r="38" spans="1:6" x14ac:dyDescent="0.2">
      <c r="A38" t="s">
        <v>687</v>
      </c>
      <c r="B38" s="57">
        <v>13</v>
      </c>
      <c r="C38" s="57">
        <v>53</v>
      </c>
      <c r="D38" s="86">
        <f t="shared" si="2"/>
        <v>9.6412037037037039E-3</v>
      </c>
      <c r="E38" s="45">
        <v>11</v>
      </c>
    </row>
    <row r="39" spans="1:6" x14ac:dyDescent="0.2">
      <c r="A39" t="s">
        <v>688</v>
      </c>
      <c r="B39" s="57">
        <v>69</v>
      </c>
      <c r="C39" s="57">
        <v>24</v>
      </c>
      <c r="D39" s="86">
        <f t="shared" si="2"/>
        <v>4.8194444444444443E-2</v>
      </c>
      <c r="E39" s="87" t="s">
        <v>1183</v>
      </c>
      <c r="F39" t="s">
        <v>1188</v>
      </c>
    </row>
    <row r="40" spans="1:6" x14ac:dyDescent="0.2">
      <c r="A40" t="s">
        <v>689</v>
      </c>
      <c r="B40" s="57">
        <v>14</v>
      </c>
      <c r="C40" s="57">
        <v>11</v>
      </c>
      <c r="D40" s="86">
        <f t="shared" si="2"/>
        <v>9.8495370370370369E-3</v>
      </c>
      <c r="E40" s="45" t="s">
        <v>1183</v>
      </c>
    </row>
    <row r="41" spans="1:6" x14ac:dyDescent="0.2">
      <c r="A41" t="s">
        <v>690</v>
      </c>
      <c r="B41" s="57">
        <v>17</v>
      </c>
      <c r="C41" s="57">
        <v>25</v>
      </c>
      <c r="D41" s="86">
        <f t="shared" si="2"/>
        <v>1.2094907407407407E-2</v>
      </c>
      <c r="E41" s="45" t="s">
        <v>1184</v>
      </c>
    </row>
    <row r="42" spans="1:6" x14ac:dyDescent="0.2">
      <c r="A42" s="60" t="s">
        <v>691</v>
      </c>
      <c r="E42" s="25"/>
    </row>
    <row r="43" spans="1:6" x14ac:dyDescent="0.2">
      <c r="A43" t="s">
        <v>692</v>
      </c>
      <c r="B43" s="63">
        <v>12</v>
      </c>
      <c r="C43" s="63">
        <v>39</v>
      </c>
      <c r="D43" s="81">
        <f t="shared" ref="D43:D48" si="3">B43/60/24+C43/3600/24</f>
        <v>8.7847222222222215E-3</v>
      </c>
      <c r="E43" s="45" t="s">
        <v>1185</v>
      </c>
    </row>
    <row r="44" spans="1:6" x14ac:dyDescent="0.2">
      <c r="A44" t="s">
        <v>693</v>
      </c>
      <c r="B44" s="63">
        <v>22</v>
      </c>
      <c r="C44" s="63">
        <v>36</v>
      </c>
      <c r="D44" s="81">
        <f t="shared" si="3"/>
        <v>1.5694444444444445E-2</v>
      </c>
      <c r="E44" s="45" t="s">
        <v>1185</v>
      </c>
    </row>
    <row r="45" spans="1:6" x14ac:dyDescent="0.2">
      <c r="A45" t="s">
        <v>694</v>
      </c>
      <c r="B45" s="63">
        <v>24</v>
      </c>
      <c r="C45" s="63">
        <v>54</v>
      </c>
      <c r="D45" s="81">
        <f t="shared" si="3"/>
        <v>1.7291666666666667E-2</v>
      </c>
      <c r="E45" s="45" t="s">
        <v>1185</v>
      </c>
    </row>
    <row r="46" spans="1:6" x14ac:dyDescent="0.2">
      <c r="A46" t="s">
        <v>695</v>
      </c>
      <c r="B46" s="63">
        <v>10</v>
      </c>
      <c r="C46" s="63">
        <v>13</v>
      </c>
      <c r="D46" s="81">
        <f t="shared" si="3"/>
        <v>7.0949074074074074E-3</v>
      </c>
      <c r="E46" s="45" t="s">
        <v>1185</v>
      </c>
    </row>
    <row r="47" spans="1:6" x14ac:dyDescent="0.2">
      <c r="A47" t="s">
        <v>696</v>
      </c>
      <c r="B47" s="63">
        <v>31</v>
      </c>
      <c r="C47" s="63">
        <v>29</v>
      </c>
      <c r="D47" s="81">
        <f t="shared" si="3"/>
        <v>2.1863425925925929E-2</v>
      </c>
      <c r="E47" s="45" t="s">
        <v>1185</v>
      </c>
    </row>
    <row r="48" spans="1:6" x14ac:dyDescent="0.2">
      <c r="A48" t="s">
        <v>697</v>
      </c>
      <c r="B48" s="63">
        <v>40</v>
      </c>
      <c r="C48" s="63">
        <v>18</v>
      </c>
      <c r="D48" s="81">
        <f t="shared" si="3"/>
        <v>2.7986111111111111E-2</v>
      </c>
      <c r="E48" s="45" t="s">
        <v>1185</v>
      </c>
    </row>
    <row r="49" spans="1:6" x14ac:dyDescent="0.2">
      <c r="A49" s="60" t="s">
        <v>698</v>
      </c>
      <c r="E49" s="25"/>
    </row>
    <row r="50" spans="1:6" x14ac:dyDescent="0.2">
      <c r="A50" t="s">
        <v>699</v>
      </c>
      <c r="B50" s="57">
        <v>15</v>
      </c>
      <c r="C50" s="57">
        <v>51</v>
      </c>
      <c r="D50" s="86">
        <f t="shared" ref="D50:D61" si="4">B50/60/24+C50/3600/24</f>
        <v>1.1006944444444444E-2</v>
      </c>
      <c r="E50" s="45">
        <v>14</v>
      </c>
      <c r="F50" t="s">
        <v>1189</v>
      </c>
    </row>
    <row r="51" spans="1:6" x14ac:dyDescent="0.2">
      <c r="A51" t="s">
        <v>700</v>
      </c>
      <c r="B51" s="57">
        <v>23</v>
      </c>
      <c r="C51" s="57">
        <v>17</v>
      </c>
      <c r="D51" s="86">
        <f t="shared" si="4"/>
        <v>1.6168981481481482E-2</v>
      </c>
      <c r="E51" s="45">
        <v>15</v>
      </c>
    </row>
    <row r="52" spans="1:6" x14ac:dyDescent="0.2">
      <c r="A52" t="s">
        <v>701</v>
      </c>
      <c r="B52" s="57">
        <v>33</v>
      </c>
      <c r="C52" s="57">
        <v>2</v>
      </c>
      <c r="D52" s="86">
        <f t="shared" si="4"/>
        <v>2.2939814814814816E-2</v>
      </c>
      <c r="E52" s="45" t="s">
        <v>1190</v>
      </c>
    </row>
    <row r="53" spans="1:6" x14ac:dyDescent="0.2">
      <c r="A53" t="s">
        <v>702</v>
      </c>
      <c r="B53" s="57">
        <v>22</v>
      </c>
      <c r="C53" s="57">
        <v>54</v>
      </c>
      <c r="D53" s="86">
        <f t="shared" si="4"/>
        <v>1.5902777777777776E-2</v>
      </c>
      <c r="E53" s="45" t="s">
        <v>1190</v>
      </c>
    </row>
    <row r="54" spans="1:6" x14ac:dyDescent="0.2">
      <c r="A54" t="s">
        <v>703</v>
      </c>
      <c r="B54" s="57">
        <v>45</v>
      </c>
      <c r="C54" s="57">
        <v>24</v>
      </c>
      <c r="D54" s="86">
        <f t="shared" si="4"/>
        <v>3.152777777777778E-2</v>
      </c>
      <c r="E54" s="45" t="s">
        <v>1191</v>
      </c>
    </row>
    <row r="55" spans="1:6" x14ac:dyDescent="0.2">
      <c r="A55" t="s">
        <v>704</v>
      </c>
      <c r="B55" s="57">
        <v>51</v>
      </c>
      <c r="C55" s="57">
        <v>4</v>
      </c>
      <c r="D55" s="86">
        <f t="shared" si="4"/>
        <v>3.546296296296296E-2</v>
      </c>
      <c r="E55" s="45" t="s">
        <v>1191</v>
      </c>
    </row>
    <row r="56" spans="1:6" x14ac:dyDescent="0.2">
      <c r="A56" t="s">
        <v>705</v>
      </c>
      <c r="B56" s="57">
        <v>32</v>
      </c>
      <c r="C56" s="57">
        <v>55</v>
      </c>
      <c r="D56" s="86">
        <f t="shared" si="4"/>
        <v>2.2858796296296297E-2</v>
      </c>
      <c r="E56" s="45" t="s">
        <v>1191</v>
      </c>
    </row>
    <row r="57" spans="1:6" x14ac:dyDescent="0.2">
      <c r="A57" t="s">
        <v>706</v>
      </c>
      <c r="B57" s="57">
        <v>54</v>
      </c>
      <c r="C57" s="57">
        <v>40</v>
      </c>
      <c r="D57" s="86">
        <f t="shared" si="4"/>
        <v>3.7962962962962962E-2</v>
      </c>
      <c r="E57" s="45" t="s">
        <v>1191</v>
      </c>
    </row>
    <row r="58" spans="1:6" x14ac:dyDescent="0.2">
      <c r="A58" t="s">
        <v>707</v>
      </c>
      <c r="B58" s="57">
        <v>11</v>
      </c>
      <c r="C58" s="57">
        <v>16</v>
      </c>
      <c r="D58" s="86">
        <f t="shared" si="4"/>
        <v>7.8240740740740736E-3</v>
      </c>
      <c r="E58" s="45" t="s">
        <v>1191</v>
      </c>
    </row>
    <row r="59" spans="1:6" x14ac:dyDescent="0.2">
      <c r="A59" t="s">
        <v>708</v>
      </c>
      <c r="B59" s="57">
        <v>31</v>
      </c>
      <c r="C59" s="57">
        <v>1</v>
      </c>
      <c r="D59" s="86">
        <f t="shared" si="4"/>
        <v>2.1539351851851855E-2</v>
      </c>
      <c r="E59" s="45" t="s">
        <v>1192</v>
      </c>
    </row>
    <row r="60" spans="1:6" x14ac:dyDescent="0.2">
      <c r="A60" t="s">
        <v>709</v>
      </c>
      <c r="B60" s="57">
        <v>12</v>
      </c>
      <c r="C60" s="57">
        <v>14</v>
      </c>
      <c r="D60" s="86">
        <f t="shared" si="4"/>
        <v>8.4953703703703701E-3</v>
      </c>
      <c r="E60" s="45" t="s">
        <v>1192</v>
      </c>
    </row>
    <row r="61" spans="1:6" x14ac:dyDescent="0.2">
      <c r="A61" t="s">
        <v>710</v>
      </c>
      <c r="B61" s="57">
        <v>13</v>
      </c>
      <c r="C61" s="57">
        <v>47</v>
      </c>
      <c r="D61" s="86">
        <f t="shared" si="4"/>
        <v>9.5717592592592608E-3</v>
      </c>
      <c r="E61" s="45" t="s">
        <v>1192</v>
      </c>
    </row>
    <row r="62" spans="1:6" x14ac:dyDescent="0.2">
      <c r="A62" s="60" t="s">
        <v>711</v>
      </c>
      <c r="E62" s="25"/>
    </row>
    <row r="63" spans="1:6" x14ac:dyDescent="0.2">
      <c r="A63" t="s">
        <v>712</v>
      </c>
      <c r="B63" s="57">
        <v>24</v>
      </c>
      <c r="C63" s="57">
        <v>30</v>
      </c>
      <c r="D63" s="86">
        <f t="shared" ref="D63:D68" si="5">B63/60/24+C63/3600/24</f>
        <v>1.7013888888888887E-2</v>
      </c>
      <c r="E63" s="45">
        <v>18</v>
      </c>
    </row>
    <row r="64" spans="1:6" x14ac:dyDescent="0.2">
      <c r="A64" t="s">
        <v>713</v>
      </c>
      <c r="B64" s="57">
        <v>19</v>
      </c>
      <c r="C64" s="57">
        <v>53</v>
      </c>
      <c r="D64" s="86">
        <f t="shared" si="5"/>
        <v>1.380787037037037E-2</v>
      </c>
      <c r="E64" s="45">
        <v>18</v>
      </c>
    </row>
    <row r="65" spans="1:5" x14ac:dyDescent="0.2">
      <c r="A65" t="s">
        <v>714</v>
      </c>
      <c r="B65" s="57">
        <v>9</v>
      </c>
      <c r="C65" s="57">
        <v>30</v>
      </c>
      <c r="D65" s="86">
        <f t="shared" si="5"/>
        <v>6.5972222222222213E-3</v>
      </c>
      <c r="E65" s="45">
        <v>18</v>
      </c>
    </row>
    <row r="66" spans="1:5" x14ac:dyDescent="0.2">
      <c r="A66" t="s">
        <v>715</v>
      </c>
      <c r="B66" s="57">
        <v>6</v>
      </c>
      <c r="C66" s="57">
        <v>14</v>
      </c>
      <c r="D66" s="86">
        <f t="shared" si="5"/>
        <v>4.3287037037037035E-3</v>
      </c>
      <c r="E66" s="45">
        <v>18</v>
      </c>
    </row>
    <row r="67" spans="1:5" x14ac:dyDescent="0.2">
      <c r="A67" t="s">
        <v>716</v>
      </c>
      <c r="B67" s="57">
        <v>16</v>
      </c>
      <c r="C67" s="57">
        <v>57</v>
      </c>
      <c r="D67" s="86">
        <f t="shared" si="5"/>
        <v>1.1770833333333335E-2</v>
      </c>
      <c r="E67" s="45" t="s">
        <v>1193</v>
      </c>
    </row>
    <row r="68" spans="1:5" x14ac:dyDescent="0.2">
      <c r="A68" t="s">
        <v>717</v>
      </c>
      <c r="B68" s="57">
        <v>14</v>
      </c>
      <c r="C68" s="57">
        <v>4</v>
      </c>
      <c r="D68" s="86">
        <f t="shared" si="5"/>
        <v>9.7685185185185184E-3</v>
      </c>
      <c r="E68" s="45" t="s">
        <v>1193</v>
      </c>
    </row>
    <row r="69" spans="1:5" x14ac:dyDescent="0.2">
      <c r="A69" s="69" t="str">
        <f>"总时长："&amp;TEXT(SUM(B:B)/1440+SUM(C:C)/86400,"[h]:mm:ss")</f>
        <v>总时长：28:35:01</v>
      </c>
    </row>
  </sheetData>
  <phoneticPr fontId="1" type="noConversion"/>
  <conditionalFormatting sqref="D50:D6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{3983A997-E6B0-4BCA-A017-CB48E8ABD710}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83A997-E6B0-4BCA-A017-CB48E8ABD7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D50:D61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5571-67F4-430B-911B-F444D39A2E21}">
  <sheetPr codeName="Sheet18"/>
  <dimension ref="A1:G37"/>
  <sheetViews>
    <sheetView workbookViewId="0">
      <pane xSplit="5" ySplit="1" topLeftCell="F17" activePane="bottomRight" state="frozen"/>
      <selection pane="topRight" activeCell="E1" sqref="E1"/>
      <selection pane="bottomLeft" activeCell="A2" sqref="A2"/>
      <selection pane="bottomRight" activeCell="E36" sqref="E36"/>
    </sheetView>
  </sheetViews>
  <sheetFormatPr defaultRowHeight="14.25" x14ac:dyDescent="0.2"/>
  <cols>
    <col min="1" max="1" width="47.75" bestFit="1" customWidth="1"/>
    <col min="4" max="4" width="10" customWidth="1"/>
  </cols>
  <sheetData>
    <row r="1" spans="1:7" ht="19.5" x14ac:dyDescent="0.2">
      <c r="A1" s="13" t="s">
        <v>35</v>
      </c>
      <c r="B1" s="14" t="s">
        <v>36</v>
      </c>
      <c r="C1" s="14" t="s">
        <v>37</v>
      </c>
      <c r="D1" s="15" t="s">
        <v>892</v>
      </c>
      <c r="E1" s="15" t="s">
        <v>53</v>
      </c>
      <c r="G1" s="31" t="s">
        <v>564</v>
      </c>
    </row>
    <row r="2" spans="1:7" x14ac:dyDescent="0.2">
      <c r="A2" s="57" t="s">
        <v>544</v>
      </c>
      <c r="B2" s="57">
        <v>19</v>
      </c>
      <c r="C2" s="57">
        <v>15</v>
      </c>
      <c r="D2" s="88">
        <f>B2/1440+C2/86400</f>
        <v>1.3368055555555555E-2</v>
      </c>
      <c r="E2" s="45">
        <v>1</v>
      </c>
    </row>
    <row r="3" spans="1:7" x14ac:dyDescent="0.2">
      <c r="A3" s="57" t="s">
        <v>545</v>
      </c>
      <c r="B3" s="57">
        <v>23</v>
      </c>
      <c r="C3" s="57">
        <v>29</v>
      </c>
      <c r="D3" s="88">
        <f>B3/1440+C3/86400</f>
        <v>1.6307870370370368E-2</v>
      </c>
      <c r="E3" s="45">
        <v>1</v>
      </c>
    </row>
    <row r="4" spans="1:7" x14ac:dyDescent="0.2">
      <c r="A4" s="57" t="s">
        <v>546</v>
      </c>
      <c r="B4" s="57">
        <v>24</v>
      </c>
      <c r="C4" s="57">
        <v>31</v>
      </c>
      <c r="D4" s="88">
        <f>B4/1440+C4/86400</f>
        <v>1.7025462962962964E-2</v>
      </c>
      <c r="E4" s="45">
        <v>2</v>
      </c>
    </row>
    <row r="5" spans="1:7" x14ac:dyDescent="0.2">
      <c r="A5" s="57" t="s">
        <v>547</v>
      </c>
      <c r="B5" s="57">
        <v>32</v>
      </c>
      <c r="C5" s="57">
        <v>38</v>
      </c>
      <c r="D5" s="88">
        <f>B5/1440+C5/86400</f>
        <v>2.266203703703704E-2</v>
      </c>
      <c r="E5" s="45">
        <v>2</v>
      </c>
    </row>
    <row r="6" spans="1:7" x14ac:dyDescent="0.2">
      <c r="A6" s="57" t="s">
        <v>548</v>
      </c>
      <c r="B6" s="57"/>
      <c r="C6" s="57"/>
      <c r="D6" s="57"/>
      <c r="E6" s="45"/>
    </row>
    <row r="7" spans="1:7" ht="15.75" x14ac:dyDescent="0.2">
      <c r="A7" s="89" t="s">
        <v>565</v>
      </c>
      <c r="B7" s="57">
        <v>15</v>
      </c>
      <c r="C7" s="57">
        <v>39</v>
      </c>
      <c r="D7" s="88">
        <f t="shared" ref="D7:D21" si="0">B7/1440+C7/86400</f>
        <v>1.0868055555555554E-2</v>
      </c>
      <c r="E7" s="45">
        <v>3</v>
      </c>
    </row>
    <row r="8" spans="1:7" ht="15.75" x14ac:dyDescent="0.2">
      <c r="A8" s="89" t="s">
        <v>566</v>
      </c>
      <c r="B8" s="57">
        <v>58</v>
      </c>
      <c r="C8" s="57">
        <v>53</v>
      </c>
      <c r="D8" s="88">
        <f t="shared" si="0"/>
        <v>4.0891203703703707E-2</v>
      </c>
      <c r="E8" s="45">
        <v>3</v>
      </c>
    </row>
    <row r="9" spans="1:7" ht="15.75" x14ac:dyDescent="0.2">
      <c r="A9" s="89" t="s">
        <v>567</v>
      </c>
      <c r="B9" s="57">
        <v>17</v>
      </c>
      <c r="C9" s="57">
        <v>33</v>
      </c>
      <c r="D9" s="88">
        <f t="shared" si="0"/>
        <v>1.21875E-2</v>
      </c>
      <c r="E9" s="45">
        <v>3</v>
      </c>
    </row>
    <row r="10" spans="1:7" x14ac:dyDescent="0.2">
      <c r="A10" s="57" t="s">
        <v>549</v>
      </c>
      <c r="B10" s="57">
        <v>62</v>
      </c>
      <c r="C10" s="57">
        <v>48</v>
      </c>
      <c r="D10" s="88">
        <f t="shared" si="0"/>
        <v>4.3611111111111107E-2</v>
      </c>
      <c r="E10" s="45">
        <v>3</v>
      </c>
    </row>
    <row r="11" spans="1:7" x14ac:dyDescent="0.2">
      <c r="A11" s="57" t="s">
        <v>550</v>
      </c>
      <c r="B11" s="57">
        <v>46</v>
      </c>
      <c r="C11" s="57">
        <v>58</v>
      </c>
      <c r="D11" s="88">
        <f t="shared" si="0"/>
        <v>3.2615740740740737E-2</v>
      </c>
      <c r="E11" s="45">
        <v>3</v>
      </c>
    </row>
    <row r="12" spans="1:7" x14ac:dyDescent="0.2">
      <c r="A12" s="57" t="s">
        <v>551</v>
      </c>
      <c r="B12" s="57">
        <v>58</v>
      </c>
      <c r="C12" s="57">
        <v>58</v>
      </c>
      <c r="D12" s="88">
        <f t="shared" si="0"/>
        <v>4.0949074074074075E-2</v>
      </c>
      <c r="E12" s="45">
        <v>4</v>
      </c>
      <c r="F12" s="90">
        <v>46078</v>
      </c>
    </row>
    <row r="13" spans="1:7" x14ac:dyDescent="0.2">
      <c r="A13" s="57" t="s">
        <v>552</v>
      </c>
      <c r="B13" s="57">
        <v>40</v>
      </c>
      <c r="C13" s="57">
        <v>28</v>
      </c>
      <c r="D13" s="88">
        <f t="shared" si="0"/>
        <v>2.810185185185185E-2</v>
      </c>
      <c r="E13" s="45">
        <v>4</v>
      </c>
      <c r="F13" t="s">
        <v>1194</v>
      </c>
    </row>
    <row r="14" spans="1:7" x14ac:dyDescent="0.2">
      <c r="A14" s="57" t="s">
        <v>553</v>
      </c>
      <c r="B14" s="57">
        <v>57</v>
      </c>
      <c r="C14" s="57">
        <v>4</v>
      </c>
      <c r="D14" s="88">
        <f t="shared" si="0"/>
        <v>3.9629629629629626E-2</v>
      </c>
      <c r="E14" s="45" t="s">
        <v>1195</v>
      </c>
    </row>
    <row r="15" spans="1:7" x14ac:dyDescent="0.2">
      <c r="A15" s="57" t="s">
        <v>554</v>
      </c>
      <c r="B15" s="57">
        <v>78</v>
      </c>
      <c r="C15" s="57">
        <v>32</v>
      </c>
      <c r="D15" s="88">
        <f t="shared" si="0"/>
        <v>5.4537037037037037E-2</v>
      </c>
      <c r="E15" s="45" t="s">
        <v>1196</v>
      </c>
    </row>
    <row r="16" spans="1:7" x14ac:dyDescent="0.2">
      <c r="A16" s="57" t="s">
        <v>555</v>
      </c>
      <c r="B16" s="57">
        <v>43</v>
      </c>
      <c r="C16" s="57">
        <v>35</v>
      </c>
      <c r="D16" s="88">
        <f t="shared" si="0"/>
        <v>3.0266203703703705E-2</v>
      </c>
      <c r="E16" s="45" t="s">
        <v>1196</v>
      </c>
    </row>
    <row r="17" spans="1:6" x14ac:dyDescent="0.2">
      <c r="A17" s="57" t="s">
        <v>556</v>
      </c>
      <c r="B17" s="57">
        <v>79</v>
      </c>
      <c r="C17" s="57">
        <v>53</v>
      </c>
      <c r="D17" s="88">
        <f t="shared" si="0"/>
        <v>5.5474537037037037E-2</v>
      </c>
      <c r="E17" s="45" t="s">
        <v>1197</v>
      </c>
    </row>
    <row r="18" spans="1:6" x14ac:dyDescent="0.2">
      <c r="A18" s="57" t="s">
        <v>557</v>
      </c>
      <c r="B18" s="57">
        <v>15</v>
      </c>
      <c r="C18" s="57">
        <v>47</v>
      </c>
      <c r="D18" s="88">
        <f t="shared" si="0"/>
        <v>1.0960648148148148E-2</v>
      </c>
      <c r="E18" s="45" t="s">
        <v>1197</v>
      </c>
    </row>
    <row r="19" spans="1:6" x14ac:dyDescent="0.2">
      <c r="A19" s="57" t="s">
        <v>558</v>
      </c>
      <c r="B19" s="57">
        <v>75</v>
      </c>
      <c r="C19" s="57">
        <v>6</v>
      </c>
      <c r="D19" s="88">
        <f t="shared" si="0"/>
        <v>5.2152777777777777E-2</v>
      </c>
      <c r="E19" s="45" t="s">
        <v>1186</v>
      </c>
      <c r="F19" t="s">
        <v>1199</v>
      </c>
    </row>
    <row r="20" spans="1:6" x14ac:dyDescent="0.2">
      <c r="A20" s="57" t="s">
        <v>559</v>
      </c>
      <c r="B20" s="57">
        <v>14</v>
      </c>
      <c r="C20" s="57">
        <v>46</v>
      </c>
      <c r="D20" s="88">
        <f t="shared" si="0"/>
        <v>1.0254629629629629E-2</v>
      </c>
      <c r="E20" s="45" t="s">
        <v>1198</v>
      </c>
      <c r="F20" t="s">
        <v>1200</v>
      </c>
    </row>
    <row r="21" spans="1:6" x14ac:dyDescent="0.2">
      <c r="A21" s="57" t="s">
        <v>560</v>
      </c>
      <c r="B21" s="57">
        <v>35</v>
      </c>
      <c r="C21" s="57">
        <v>52</v>
      </c>
      <c r="D21" s="88">
        <f t="shared" si="0"/>
        <v>2.4907407407407409E-2</v>
      </c>
      <c r="E21" s="45" t="s">
        <v>1201</v>
      </c>
      <c r="F21" t="s">
        <v>1202</v>
      </c>
    </row>
    <row r="22" spans="1:6" x14ac:dyDescent="0.2">
      <c r="A22" t="s">
        <v>561</v>
      </c>
      <c r="E22" s="25"/>
    </row>
    <row r="23" spans="1:6" x14ac:dyDescent="0.2">
      <c r="A23" s="57" t="s">
        <v>568</v>
      </c>
      <c r="B23" s="57">
        <v>8</v>
      </c>
      <c r="C23" s="57">
        <v>28</v>
      </c>
      <c r="D23" s="88">
        <f t="shared" ref="D23:D33" si="1">B23/1440+C23/86400</f>
        <v>5.8796296296296296E-3</v>
      </c>
      <c r="E23" s="45" t="s">
        <v>1203</v>
      </c>
    </row>
    <row r="24" spans="1:6" x14ac:dyDescent="0.2">
      <c r="A24" s="57" t="s">
        <v>569</v>
      </c>
      <c r="B24" s="57">
        <v>17</v>
      </c>
      <c r="C24" s="57">
        <v>10</v>
      </c>
      <c r="D24" s="88">
        <f t="shared" si="1"/>
        <v>1.1921296296296296E-2</v>
      </c>
      <c r="E24" s="45" t="s">
        <v>1203</v>
      </c>
    </row>
    <row r="25" spans="1:6" x14ac:dyDescent="0.2">
      <c r="A25" s="57" t="s">
        <v>570</v>
      </c>
      <c r="B25" s="57">
        <v>5</v>
      </c>
      <c r="C25" s="57">
        <v>25</v>
      </c>
      <c r="D25" s="88">
        <f t="shared" si="1"/>
        <v>3.7615740740740739E-3</v>
      </c>
      <c r="E25" s="45" t="s">
        <v>1203</v>
      </c>
    </row>
    <row r="26" spans="1:6" x14ac:dyDescent="0.2">
      <c r="A26" s="57" t="s">
        <v>571</v>
      </c>
      <c r="B26" s="57">
        <v>13</v>
      </c>
      <c r="C26" s="57">
        <v>16</v>
      </c>
      <c r="D26" s="88">
        <f t="shared" si="1"/>
        <v>9.2129629629629627E-3</v>
      </c>
      <c r="E26" s="45" t="s">
        <v>1203</v>
      </c>
    </row>
    <row r="27" spans="1:6" x14ac:dyDescent="0.2">
      <c r="A27" s="57" t="s">
        <v>572</v>
      </c>
      <c r="B27" s="57">
        <v>23</v>
      </c>
      <c r="C27" s="57">
        <v>23</v>
      </c>
      <c r="D27" s="88">
        <f t="shared" si="1"/>
        <v>1.6238425925925924E-2</v>
      </c>
      <c r="E27" s="45" t="s">
        <v>1203</v>
      </c>
    </row>
    <row r="28" spans="1:6" x14ac:dyDescent="0.2">
      <c r="A28" s="57" t="s">
        <v>573</v>
      </c>
      <c r="B28" s="57">
        <v>8</v>
      </c>
      <c r="C28" s="57">
        <v>57</v>
      </c>
      <c r="D28" s="88">
        <f t="shared" si="1"/>
        <v>6.2152777777777779E-3</v>
      </c>
      <c r="E28" s="45" t="s">
        <v>1203</v>
      </c>
    </row>
    <row r="29" spans="1:6" x14ac:dyDescent="0.2">
      <c r="A29" s="57" t="s">
        <v>574</v>
      </c>
      <c r="B29" s="57">
        <v>18</v>
      </c>
      <c r="C29" s="57">
        <v>46</v>
      </c>
      <c r="D29" s="88">
        <f t="shared" si="1"/>
        <v>1.3032407407407407E-2</v>
      </c>
      <c r="E29" s="45" t="s">
        <v>1203</v>
      </c>
    </row>
    <row r="30" spans="1:6" x14ac:dyDescent="0.2">
      <c r="A30" s="57" t="s">
        <v>575</v>
      </c>
      <c r="B30" s="57">
        <v>5</v>
      </c>
      <c r="C30" s="57">
        <v>55</v>
      </c>
      <c r="D30" s="88">
        <f t="shared" si="1"/>
        <v>4.1087962962962962E-3</v>
      </c>
      <c r="E30" s="45" t="s">
        <v>1203</v>
      </c>
    </row>
    <row r="31" spans="1:6" x14ac:dyDescent="0.2">
      <c r="A31" s="57" t="s">
        <v>576</v>
      </c>
      <c r="B31" s="57">
        <v>4</v>
      </c>
      <c r="C31" s="57">
        <v>21</v>
      </c>
      <c r="D31" s="88">
        <f t="shared" si="1"/>
        <v>3.0208333333333333E-3</v>
      </c>
      <c r="E31" s="45" t="s">
        <v>1203</v>
      </c>
    </row>
    <row r="32" spans="1:6" x14ac:dyDescent="0.2">
      <c r="A32" s="57" t="s">
        <v>577</v>
      </c>
      <c r="B32" s="57">
        <v>22</v>
      </c>
      <c r="C32" s="57">
        <v>55</v>
      </c>
      <c r="D32" s="88">
        <f t="shared" si="1"/>
        <v>1.5914351851851853E-2</v>
      </c>
      <c r="E32" s="45" t="s">
        <v>1203</v>
      </c>
    </row>
    <row r="33" spans="1:5" x14ac:dyDescent="0.2">
      <c r="A33" s="57" t="s">
        <v>562</v>
      </c>
      <c r="B33" s="57">
        <v>10</v>
      </c>
      <c r="C33" s="57">
        <v>39</v>
      </c>
      <c r="D33" s="88">
        <f t="shared" si="1"/>
        <v>7.3958333333333333E-3</v>
      </c>
      <c r="E33" s="45" t="s">
        <v>1203</v>
      </c>
    </row>
    <row r="34" spans="1:5" x14ac:dyDescent="0.2">
      <c r="A34" t="s">
        <v>563</v>
      </c>
      <c r="E34" s="25"/>
    </row>
    <row r="35" spans="1:5" x14ac:dyDescent="0.2">
      <c r="A35" s="57" t="s">
        <v>578</v>
      </c>
      <c r="B35" s="57">
        <v>23</v>
      </c>
      <c r="C35" s="57">
        <v>38</v>
      </c>
      <c r="D35" s="88">
        <f>B35/1440+C35/86400</f>
        <v>1.6412037037037037E-2</v>
      </c>
      <c r="E35" s="45" t="s">
        <v>1203</v>
      </c>
    </row>
    <row r="36" spans="1:5" x14ac:dyDescent="0.2">
      <c r="A36" s="57" t="s">
        <v>579</v>
      </c>
      <c r="B36" s="57">
        <v>26</v>
      </c>
      <c r="C36" s="57">
        <v>6</v>
      </c>
      <c r="D36" s="88">
        <f>B36/1440+C36/86400</f>
        <v>1.8124999999999999E-2</v>
      </c>
      <c r="E36" s="45" t="s">
        <v>1203</v>
      </c>
    </row>
    <row r="37" spans="1:5" x14ac:dyDescent="0.2">
      <c r="A37" s="11" t="str">
        <f>"总时长："&amp;TEXT(SUM(B:B)/1440+SUM(C:C)/86400,"[h]:mm:ss")</f>
        <v>总时长：16:30:44</v>
      </c>
    </row>
  </sheetData>
  <phoneticPr fontId="1" type="noConversion"/>
  <conditionalFormatting sqref="D2:D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{9F8BF64B-D611-4045-A4F9-FB3B85D7F606}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8BF64B-D611-4045-A4F9-FB3B85D7F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EE39-FEF0-4DE1-BCE0-97DA15E5D3E9}">
  <dimension ref="A1:F2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4" sqref="A24"/>
    </sheetView>
  </sheetViews>
  <sheetFormatPr defaultRowHeight="14.25" x14ac:dyDescent="0.2"/>
  <cols>
    <col min="1" max="1" width="47.75" bestFit="1" customWidth="1"/>
  </cols>
  <sheetData>
    <row r="1" spans="1:6" ht="19.5" x14ac:dyDescent="0.2">
      <c r="A1" s="13" t="s">
        <v>35</v>
      </c>
      <c r="B1" s="14" t="s">
        <v>36</v>
      </c>
      <c r="C1" s="14" t="s">
        <v>37</v>
      </c>
      <c r="D1" s="15" t="s">
        <v>53</v>
      </c>
      <c r="F1" s="31" t="s">
        <v>865</v>
      </c>
    </row>
    <row r="2" spans="1:6" x14ac:dyDescent="0.2">
      <c r="A2" s="25" t="s">
        <v>741</v>
      </c>
    </row>
    <row r="3" spans="1:6" x14ac:dyDescent="0.2">
      <c r="A3" t="s">
        <v>742</v>
      </c>
      <c r="B3">
        <v>18</v>
      </c>
      <c r="C3">
        <v>41</v>
      </c>
    </row>
    <row r="4" spans="1:6" x14ac:dyDescent="0.2">
      <c r="A4" t="s">
        <v>743</v>
      </c>
      <c r="B4">
        <v>39</v>
      </c>
      <c r="C4">
        <v>36</v>
      </c>
    </row>
    <row r="5" spans="1:6" x14ac:dyDescent="0.2">
      <c r="A5" t="s">
        <v>744</v>
      </c>
      <c r="B5">
        <v>34</v>
      </c>
      <c r="C5">
        <v>28</v>
      </c>
    </row>
    <row r="6" spans="1:6" x14ac:dyDescent="0.2">
      <c r="A6" t="s">
        <v>745</v>
      </c>
      <c r="B6">
        <v>35</v>
      </c>
      <c r="C6">
        <v>1</v>
      </c>
    </row>
    <row r="7" spans="1:6" ht="15.75" x14ac:dyDescent="0.2">
      <c r="A7" s="36" t="s">
        <v>746</v>
      </c>
      <c r="B7">
        <v>25</v>
      </c>
      <c r="C7">
        <v>50</v>
      </c>
    </row>
    <row r="8" spans="1:6" ht="15.75" x14ac:dyDescent="0.2">
      <c r="A8" s="36" t="s">
        <v>747</v>
      </c>
      <c r="B8">
        <v>8</v>
      </c>
      <c r="C8">
        <v>47</v>
      </c>
    </row>
    <row r="9" spans="1:6" ht="15.75" x14ac:dyDescent="0.2">
      <c r="A9" s="64" t="s">
        <v>748</v>
      </c>
    </row>
    <row r="10" spans="1:6" x14ac:dyDescent="0.2">
      <c r="A10" t="s">
        <v>749</v>
      </c>
      <c r="B10">
        <v>21</v>
      </c>
      <c r="C10">
        <v>13</v>
      </c>
    </row>
    <row r="11" spans="1:6" x14ac:dyDescent="0.2">
      <c r="A11" t="s">
        <v>750</v>
      </c>
      <c r="B11">
        <v>23</v>
      </c>
      <c r="C11">
        <v>12</v>
      </c>
    </row>
    <row r="12" spans="1:6" x14ac:dyDescent="0.2">
      <c r="A12" t="s">
        <v>751</v>
      </c>
      <c r="B12">
        <v>22</v>
      </c>
      <c r="C12">
        <v>28</v>
      </c>
    </row>
    <row r="13" spans="1:6" x14ac:dyDescent="0.2">
      <c r="A13" t="s">
        <v>752</v>
      </c>
      <c r="B13">
        <v>46</v>
      </c>
      <c r="C13">
        <v>49</v>
      </c>
    </row>
    <row r="14" spans="1:6" x14ac:dyDescent="0.2">
      <c r="A14" t="s">
        <v>753</v>
      </c>
      <c r="B14">
        <v>41</v>
      </c>
      <c r="C14">
        <v>38</v>
      </c>
    </row>
    <row r="15" spans="1:6" x14ac:dyDescent="0.2">
      <c r="A15" t="s">
        <v>754</v>
      </c>
      <c r="B15">
        <v>67</v>
      </c>
      <c r="C15">
        <v>29</v>
      </c>
    </row>
    <row r="16" spans="1:6" x14ac:dyDescent="0.2">
      <c r="A16" t="s">
        <v>755</v>
      </c>
      <c r="B16">
        <v>65</v>
      </c>
      <c r="C16">
        <v>18</v>
      </c>
    </row>
    <row r="17" spans="1:3" x14ac:dyDescent="0.2">
      <c r="A17" t="s">
        <v>756</v>
      </c>
      <c r="B17">
        <v>64</v>
      </c>
      <c r="C17">
        <v>28</v>
      </c>
    </row>
    <row r="18" spans="1:3" x14ac:dyDescent="0.2">
      <c r="A18" t="s">
        <v>757</v>
      </c>
      <c r="B18">
        <v>27</v>
      </c>
      <c r="C18">
        <v>23</v>
      </c>
    </row>
    <row r="19" spans="1:3" x14ac:dyDescent="0.2">
      <c r="A19" t="s">
        <v>758</v>
      </c>
      <c r="B19">
        <v>21</v>
      </c>
      <c r="C19">
        <v>20</v>
      </c>
    </row>
    <row r="20" spans="1:3" x14ac:dyDescent="0.2">
      <c r="A20" t="s">
        <v>759</v>
      </c>
      <c r="B20">
        <v>41</v>
      </c>
      <c r="C20">
        <v>54</v>
      </c>
    </row>
    <row r="21" spans="1:3" x14ac:dyDescent="0.2">
      <c r="A21" t="s">
        <v>760</v>
      </c>
      <c r="B21">
        <v>42</v>
      </c>
      <c r="C21">
        <v>11</v>
      </c>
    </row>
    <row r="22" spans="1:3" x14ac:dyDescent="0.2">
      <c r="A22" t="s">
        <v>761</v>
      </c>
      <c r="B22">
        <v>38</v>
      </c>
      <c r="C22">
        <v>46</v>
      </c>
    </row>
    <row r="23" spans="1:3" x14ac:dyDescent="0.2">
      <c r="A23" t="s">
        <v>762</v>
      </c>
      <c r="B23">
        <v>64</v>
      </c>
      <c r="C23">
        <v>21</v>
      </c>
    </row>
    <row r="24" spans="1:3" x14ac:dyDescent="0.2">
      <c r="A24" t="s">
        <v>763</v>
      </c>
      <c r="B24">
        <v>35</v>
      </c>
      <c r="C24">
        <v>11</v>
      </c>
    </row>
    <row r="25" spans="1:3" x14ac:dyDescent="0.2">
      <c r="A25" s="11" t="str">
        <f>"总时长："&amp;TEXT(SUM(B:B)/1440+SUM(C:C)/86400,"[h]:mm:ss")</f>
        <v>总时长：13:06:04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F9A4-06A0-4B42-AB44-860D68BC6616}">
  <dimension ref="A1:F10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6" sqref="E6"/>
    </sheetView>
  </sheetViews>
  <sheetFormatPr defaultRowHeight="14.25" x14ac:dyDescent="0.2"/>
  <cols>
    <col min="1" max="1" width="47.75" bestFit="1" customWidth="1"/>
  </cols>
  <sheetData>
    <row r="1" spans="1:6" ht="19.5" x14ac:dyDescent="0.2">
      <c r="A1" s="13" t="s">
        <v>35</v>
      </c>
      <c r="B1" s="14" t="s">
        <v>36</v>
      </c>
      <c r="C1" s="14" t="s">
        <v>37</v>
      </c>
      <c r="D1" s="15" t="s">
        <v>892</v>
      </c>
      <c r="E1" s="94" t="s">
        <v>53</v>
      </c>
      <c r="F1" s="31" t="s">
        <v>864</v>
      </c>
    </row>
    <row r="2" spans="1:6" x14ac:dyDescent="0.2">
      <c r="A2" s="25" t="s">
        <v>764</v>
      </c>
      <c r="E2" s="45"/>
    </row>
    <row r="3" spans="1:6" x14ac:dyDescent="0.2">
      <c r="A3" s="63" t="s">
        <v>765</v>
      </c>
      <c r="B3" s="57">
        <v>13</v>
      </c>
      <c r="C3" s="57">
        <v>10</v>
      </c>
      <c r="D3" s="95">
        <f t="shared" ref="D3:D34" si="0">B3/1440+C3/86400</f>
        <v>9.1435185185185178E-3</v>
      </c>
      <c r="E3" s="45">
        <v>1</v>
      </c>
    </row>
    <row r="4" spans="1:6" x14ac:dyDescent="0.2">
      <c r="A4" s="57" t="s">
        <v>766</v>
      </c>
      <c r="B4" s="57">
        <v>15</v>
      </c>
      <c r="C4" s="57">
        <v>24</v>
      </c>
      <c r="D4" s="95">
        <f t="shared" si="0"/>
        <v>1.0694444444444444E-2</v>
      </c>
      <c r="E4" s="45">
        <v>1</v>
      </c>
    </row>
    <row r="5" spans="1:6" x14ac:dyDescent="0.2">
      <c r="A5" s="25" t="s">
        <v>767</v>
      </c>
      <c r="D5" s="93">
        <f>SUM(D3:D4)</f>
        <v>1.983796296296296E-2</v>
      </c>
      <c r="E5" s="45"/>
    </row>
    <row r="6" spans="1:6" x14ac:dyDescent="0.2">
      <c r="A6" t="s">
        <v>768</v>
      </c>
      <c r="B6">
        <v>21</v>
      </c>
      <c r="C6">
        <v>27</v>
      </c>
      <c r="D6" s="91">
        <f t="shared" si="0"/>
        <v>1.4895833333333334E-2</v>
      </c>
      <c r="E6" s="45"/>
    </row>
    <row r="7" spans="1:6" ht="15.75" x14ac:dyDescent="0.2">
      <c r="A7" s="36" t="s">
        <v>769</v>
      </c>
      <c r="B7">
        <v>33</v>
      </c>
      <c r="C7">
        <v>25</v>
      </c>
      <c r="D7" s="91">
        <f t="shared" si="0"/>
        <v>2.3206018518518518E-2</v>
      </c>
      <c r="E7" s="45"/>
    </row>
    <row r="8" spans="1:6" ht="15.75" x14ac:dyDescent="0.2">
      <c r="A8" s="36" t="s">
        <v>770</v>
      </c>
      <c r="B8">
        <v>40</v>
      </c>
      <c r="C8">
        <v>25</v>
      </c>
      <c r="D8" s="91">
        <f t="shared" si="0"/>
        <v>2.8067129629629629E-2</v>
      </c>
      <c r="E8" s="45"/>
    </row>
    <row r="9" spans="1:6" ht="15.75" x14ac:dyDescent="0.2">
      <c r="A9" s="36" t="s">
        <v>771</v>
      </c>
      <c r="B9">
        <v>31</v>
      </c>
      <c r="C9">
        <v>39</v>
      </c>
      <c r="D9" s="91">
        <f t="shared" si="0"/>
        <v>2.1979166666666668E-2</v>
      </c>
      <c r="E9" s="45"/>
    </row>
    <row r="10" spans="1:6" x14ac:dyDescent="0.2">
      <c r="A10" t="s">
        <v>772</v>
      </c>
      <c r="B10">
        <v>50</v>
      </c>
      <c r="C10">
        <v>19</v>
      </c>
      <c r="D10" s="91">
        <f t="shared" si="0"/>
        <v>3.4942129629629629E-2</v>
      </c>
      <c r="E10" s="45"/>
    </row>
    <row r="11" spans="1:6" x14ac:dyDescent="0.2">
      <c r="A11" t="s">
        <v>773</v>
      </c>
      <c r="B11">
        <v>30</v>
      </c>
      <c r="C11">
        <v>43</v>
      </c>
      <c r="D11" s="91">
        <f t="shared" si="0"/>
        <v>2.1331018518518517E-2</v>
      </c>
      <c r="E11" s="45"/>
    </row>
    <row r="12" spans="1:6" x14ac:dyDescent="0.2">
      <c r="A12" t="s">
        <v>774</v>
      </c>
      <c r="B12">
        <v>47</v>
      </c>
      <c r="C12">
        <v>1</v>
      </c>
      <c r="D12" s="91">
        <f t="shared" si="0"/>
        <v>3.2650462962962964E-2</v>
      </c>
      <c r="E12" s="45"/>
    </row>
    <row r="13" spans="1:6" x14ac:dyDescent="0.2">
      <c r="A13" t="s">
        <v>775</v>
      </c>
      <c r="B13">
        <v>34</v>
      </c>
      <c r="C13">
        <v>9</v>
      </c>
      <c r="D13" s="91">
        <f t="shared" si="0"/>
        <v>2.3715277777777776E-2</v>
      </c>
      <c r="E13" s="45"/>
    </row>
    <row r="14" spans="1:6" x14ac:dyDescent="0.2">
      <c r="A14" t="s">
        <v>776</v>
      </c>
      <c r="B14">
        <v>46</v>
      </c>
      <c r="C14">
        <v>49</v>
      </c>
      <c r="D14" s="91">
        <f t="shared" si="0"/>
        <v>3.2511574074074075E-2</v>
      </c>
      <c r="E14" s="45"/>
    </row>
    <row r="15" spans="1:6" x14ac:dyDescent="0.2">
      <c r="A15" t="s">
        <v>777</v>
      </c>
      <c r="B15">
        <v>41</v>
      </c>
      <c r="C15">
        <v>11</v>
      </c>
      <c r="D15" s="91">
        <f t="shared" si="0"/>
        <v>2.8599537037037038E-2</v>
      </c>
      <c r="E15" s="45"/>
    </row>
    <row r="16" spans="1:6" x14ac:dyDescent="0.2">
      <c r="A16" t="s">
        <v>778</v>
      </c>
      <c r="B16">
        <v>50</v>
      </c>
      <c r="C16">
        <v>4</v>
      </c>
      <c r="D16" s="91">
        <f t="shared" si="0"/>
        <v>3.4768518518518518E-2</v>
      </c>
      <c r="E16" s="45"/>
    </row>
    <row r="17" spans="1:5" x14ac:dyDescent="0.2">
      <c r="A17" t="s">
        <v>779</v>
      </c>
      <c r="B17">
        <v>34</v>
      </c>
      <c r="C17">
        <v>20</v>
      </c>
      <c r="D17" s="91">
        <f t="shared" si="0"/>
        <v>2.3842592592592592E-2</v>
      </c>
      <c r="E17" s="45"/>
    </row>
    <row r="18" spans="1:5" x14ac:dyDescent="0.2">
      <c r="A18" t="s">
        <v>780</v>
      </c>
      <c r="B18">
        <v>32</v>
      </c>
      <c r="C18">
        <v>57</v>
      </c>
      <c r="D18" s="91">
        <f t="shared" si="0"/>
        <v>2.2881944444444444E-2</v>
      </c>
      <c r="E18" s="45"/>
    </row>
    <row r="19" spans="1:5" x14ac:dyDescent="0.2">
      <c r="A19" t="s">
        <v>781</v>
      </c>
      <c r="B19">
        <v>54</v>
      </c>
      <c r="C19">
        <v>37</v>
      </c>
      <c r="D19" s="91">
        <f t="shared" si="0"/>
        <v>3.7928240740740742E-2</v>
      </c>
      <c r="E19" s="45"/>
    </row>
    <row r="20" spans="1:5" x14ac:dyDescent="0.2">
      <c r="A20" t="s">
        <v>782</v>
      </c>
      <c r="B20">
        <v>33</v>
      </c>
      <c r="C20">
        <v>21</v>
      </c>
      <c r="D20" s="91">
        <f t="shared" si="0"/>
        <v>2.315972222222222E-2</v>
      </c>
      <c r="E20" s="45"/>
    </row>
    <row r="21" spans="1:5" x14ac:dyDescent="0.2">
      <c r="A21" t="s">
        <v>783</v>
      </c>
      <c r="B21">
        <v>30</v>
      </c>
      <c r="C21">
        <v>24</v>
      </c>
      <c r="D21" s="91">
        <f t="shared" si="0"/>
        <v>2.1111111111111108E-2</v>
      </c>
      <c r="E21" s="45"/>
    </row>
    <row r="22" spans="1:5" x14ac:dyDescent="0.2">
      <c r="A22" t="s">
        <v>784</v>
      </c>
      <c r="B22">
        <v>31</v>
      </c>
      <c r="C22">
        <v>48</v>
      </c>
      <c r="D22" s="91">
        <f t="shared" si="0"/>
        <v>2.2083333333333333E-2</v>
      </c>
      <c r="E22" s="45"/>
    </row>
    <row r="23" spans="1:5" x14ac:dyDescent="0.2">
      <c r="A23" t="s">
        <v>785</v>
      </c>
      <c r="B23">
        <v>40</v>
      </c>
      <c r="C23">
        <v>3</v>
      </c>
      <c r="D23" s="91">
        <f t="shared" si="0"/>
        <v>2.7812499999999997E-2</v>
      </c>
      <c r="E23" s="45"/>
    </row>
    <row r="24" spans="1:5" x14ac:dyDescent="0.2">
      <c r="A24" t="s">
        <v>786</v>
      </c>
      <c r="B24">
        <v>43</v>
      </c>
      <c r="C24">
        <v>26</v>
      </c>
      <c r="D24" s="91">
        <f t="shared" si="0"/>
        <v>3.0162037037037039E-2</v>
      </c>
      <c r="E24" s="45"/>
    </row>
    <row r="25" spans="1:5" x14ac:dyDescent="0.2">
      <c r="A25" t="s">
        <v>787</v>
      </c>
      <c r="B25">
        <v>33</v>
      </c>
      <c r="C25">
        <v>10</v>
      </c>
      <c r="D25" s="91">
        <f t="shared" si="0"/>
        <v>2.3032407407407404E-2</v>
      </c>
      <c r="E25" s="45"/>
    </row>
    <row r="26" spans="1:5" x14ac:dyDescent="0.2">
      <c r="A26" t="s">
        <v>788</v>
      </c>
      <c r="B26">
        <v>33</v>
      </c>
      <c r="C26">
        <v>37</v>
      </c>
      <c r="D26" s="91">
        <f t="shared" si="0"/>
        <v>2.3344907407407404E-2</v>
      </c>
      <c r="E26" s="45"/>
    </row>
    <row r="27" spans="1:5" x14ac:dyDescent="0.2">
      <c r="A27" t="s">
        <v>789</v>
      </c>
      <c r="B27">
        <v>42</v>
      </c>
      <c r="C27">
        <v>44</v>
      </c>
      <c r="D27" s="91">
        <f t="shared" si="0"/>
        <v>2.9675925925925925E-2</v>
      </c>
      <c r="E27" s="45"/>
    </row>
    <row r="28" spans="1:5" x14ac:dyDescent="0.2">
      <c r="A28" t="s">
        <v>790</v>
      </c>
      <c r="B28">
        <v>24</v>
      </c>
      <c r="C28">
        <v>28</v>
      </c>
      <c r="D28" s="91">
        <f t="shared" si="0"/>
        <v>1.699074074074074E-2</v>
      </c>
      <c r="E28" s="45"/>
    </row>
    <row r="29" spans="1:5" x14ac:dyDescent="0.2">
      <c r="A29" t="s">
        <v>791</v>
      </c>
      <c r="B29">
        <v>35</v>
      </c>
      <c r="C29">
        <v>42</v>
      </c>
      <c r="D29" s="91">
        <f t="shared" si="0"/>
        <v>2.4791666666666667E-2</v>
      </c>
      <c r="E29" s="45"/>
    </row>
    <row r="30" spans="1:5" x14ac:dyDescent="0.2">
      <c r="A30" t="s">
        <v>792</v>
      </c>
      <c r="B30">
        <v>43</v>
      </c>
      <c r="C30">
        <v>52</v>
      </c>
      <c r="D30" s="91">
        <f t="shared" si="0"/>
        <v>3.0462962962962966E-2</v>
      </c>
      <c r="E30" s="45"/>
    </row>
    <row r="31" spans="1:5" x14ac:dyDescent="0.2">
      <c r="A31" t="s">
        <v>793</v>
      </c>
      <c r="B31">
        <v>48</v>
      </c>
      <c r="C31">
        <v>6</v>
      </c>
      <c r="D31" s="91">
        <f t="shared" si="0"/>
        <v>3.3402777777777774E-2</v>
      </c>
      <c r="E31" s="45"/>
    </row>
    <row r="32" spans="1:5" x14ac:dyDescent="0.2">
      <c r="A32" t="s">
        <v>794</v>
      </c>
      <c r="B32">
        <v>30</v>
      </c>
      <c r="C32">
        <v>9</v>
      </c>
      <c r="D32" s="91">
        <f t="shared" si="0"/>
        <v>2.0937499999999998E-2</v>
      </c>
      <c r="E32" s="45"/>
    </row>
    <row r="33" spans="1:5" x14ac:dyDescent="0.2">
      <c r="A33" t="s">
        <v>795</v>
      </c>
      <c r="B33">
        <v>26</v>
      </c>
      <c r="C33">
        <v>27</v>
      </c>
      <c r="D33" s="91">
        <f t="shared" si="0"/>
        <v>1.8368055555555554E-2</v>
      </c>
      <c r="E33" s="45"/>
    </row>
    <row r="34" spans="1:5" x14ac:dyDescent="0.2">
      <c r="A34" t="s">
        <v>796</v>
      </c>
      <c r="B34">
        <v>39</v>
      </c>
      <c r="C34">
        <v>54</v>
      </c>
      <c r="D34" s="91">
        <f t="shared" si="0"/>
        <v>2.7708333333333335E-2</v>
      </c>
      <c r="E34" s="45"/>
    </row>
    <row r="35" spans="1:5" x14ac:dyDescent="0.2">
      <c r="A35" t="s">
        <v>797</v>
      </c>
      <c r="B35">
        <v>62</v>
      </c>
      <c r="C35">
        <v>43</v>
      </c>
      <c r="D35" s="91">
        <f t="shared" ref="D35:D66" si="1">B35/1440+C35/86400</f>
        <v>4.355324074074074E-2</v>
      </c>
      <c r="E35" s="45"/>
    </row>
    <row r="36" spans="1:5" x14ac:dyDescent="0.2">
      <c r="A36" s="25" t="s">
        <v>798</v>
      </c>
      <c r="D36" s="93">
        <f>SUM(D6:D35)</f>
        <v>0.7979166666666665</v>
      </c>
      <c r="E36" s="45"/>
    </row>
    <row r="37" spans="1:5" x14ac:dyDescent="0.2">
      <c r="A37" t="s">
        <v>799</v>
      </c>
      <c r="B37">
        <v>18</v>
      </c>
      <c r="C37">
        <v>22</v>
      </c>
      <c r="D37" s="91">
        <f t="shared" si="1"/>
        <v>1.275462962962963E-2</v>
      </c>
      <c r="E37" s="45"/>
    </row>
    <row r="38" spans="1:5" x14ac:dyDescent="0.2">
      <c r="A38" t="s">
        <v>800</v>
      </c>
      <c r="B38">
        <v>87</v>
      </c>
      <c r="C38">
        <v>40</v>
      </c>
      <c r="D38" s="91">
        <f t="shared" si="1"/>
        <v>6.0879629629629631E-2</v>
      </c>
      <c r="E38" s="45"/>
    </row>
    <row r="39" spans="1:5" x14ac:dyDescent="0.2">
      <c r="A39" t="s">
        <v>801</v>
      </c>
      <c r="B39">
        <v>59</v>
      </c>
      <c r="C39">
        <v>4</v>
      </c>
      <c r="D39" s="91">
        <f t="shared" si="1"/>
        <v>4.1018518518518517E-2</v>
      </c>
      <c r="E39" s="45"/>
    </row>
    <row r="40" spans="1:5" x14ac:dyDescent="0.2">
      <c r="A40" t="s">
        <v>802</v>
      </c>
      <c r="B40">
        <v>24</v>
      </c>
      <c r="C40">
        <v>5</v>
      </c>
      <c r="D40" s="91">
        <f t="shared" si="1"/>
        <v>1.6724537037037038E-2</v>
      </c>
      <c r="E40" s="45"/>
    </row>
    <row r="41" spans="1:5" x14ac:dyDescent="0.2">
      <c r="A41" t="s">
        <v>803</v>
      </c>
      <c r="B41">
        <v>59</v>
      </c>
      <c r="C41">
        <v>53</v>
      </c>
      <c r="D41" s="91">
        <f t="shared" si="1"/>
        <v>4.1585648148148149E-2</v>
      </c>
      <c r="E41" s="45"/>
    </row>
    <row r="42" spans="1:5" x14ac:dyDescent="0.2">
      <c r="A42" t="s">
        <v>804</v>
      </c>
      <c r="B42">
        <v>52</v>
      </c>
      <c r="C42">
        <v>12</v>
      </c>
      <c r="D42" s="91">
        <f t="shared" si="1"/>
        <v>3.6249999999999998E-2</v>
      </c>
      <c r="E42" s="45"/>
    </row>
    <row r="43" spans="1:5" x14ac:dyDescent="0.2">
      <c r="A43" t="s">
        <v>805</v>
      </c>
      <c r="B43">
        <v>53</v>
      </c>
      <c r="C43">
        <v>11</v>
      </c>
      <c r="D43" s="91">
        <f t="shared" si="1"/>
        <v>3.6932870370370373E-2</v>
      </c>
      <c r="E43" s="45"/>
    </row>
    <row r="44" spans="1:5" x14ac:dyDescent="0.2">
      <c r="A44" t="s">
        <v>806</v>
      </c>
      <c r="B44">
        <v>40</v>
      </c>
      <c r="C44">
        <v>55</v>
      </c>
      <c r="D44" s="91">
        <f t="shared" si="1"/>
        <v>2.841435185185185E-2</v>
      </c>
      <c r="E44" s="45"/>
    </row>
    <row r="45" spans="1:5" x14ac:dyDescent="0.2">
      <c r="A45" t="s">
        <v>807</v>
      </c>
      <c r="B45">
        <v>55</v>
      </c>
      <c r="C45">
        <v>6</v>
      </c>
      <c r="D45" s="91">
        <f t="shared" si="1"/>
        <v>3.8263888888888889E-2</v>
      </c>
      <c r="E45" s="45"/>
    </row>
    <row r="46" spans="1:5" x14ac:dyDescent="0.2">
      <c r="A46" t="s">
        <v>808</v>
      </c>
      <c r="B46">
        <v>44</v>
      </c>
      <c r="C46">
        <v>32</v>
      </c>
      <c r="D46" s="91">
        <f t="shared" si="1"/>
        <v>3.0925925925925926E-2</v>
      </c>
      <c r="E46" s="45"/>
    </row>
    <row r="47" spans="1:5" x14ac:dyDescent="0.2">
      <c r="A47" t="s">
        <v>809</v>
      </c>
      <c r="B47">
        <v>50</v>
      </c>
      <c r="C47">
        <v>42</v>
      </c>
      <c r="D47" s="91">
        <f t="shared" si="1"/>
        <v>3.5208333333333335E-2</v>
      </c>
      <c r="E47" s="45"/>
    </row>
    <row r="48" spans="1:5" x14ac:dyDescent="0.2">
      <c r="A48" t="s">
        <v>810</v>
      </c>
      <c r="B48">
        <v>49</v>
      </c>
      <c r="C48">
        <v>2</v>
      </c>
      <c r="D48" s="91">
        <f t="shared" si="1"/>
        <v>3.4050925925925922E-2</v>
      </c>
      <c r="E48" s="45"/>
    </row>
    <row r="49" spans="1:5" x14ac:dyDescent="0.2">
      <c r="A49" t="s">
        <v>811</v>
      </c>
      <c r="B49">
        <v>26</v>
      </c>
      <c r="C49">
        <v>38</v>
      </c>
      <c r="D49" s="91">
        <f t="shared" si="1"/>
        <v>1.849537037037037E-2</v>
      </c>
      <c r="E49" s="45"/>
    </row>
    <row r="50" spans="1:5" x14ac:dyDescent="0.2">
      <c r="A50" t="s">
        <v>812</v>
      </c>
      <c r="B50">
        <v>25</v>
      </c>
      <c r="C50">
        <v>1</v>
      </c>
      <c r="D50" s="91">
        <f t="shared" si="1"/>
        <v>1.7372685185185185E-2</v>
      </c>
      <c r="E50" s="45"/>
    </row>
    <row r="51" spans="1:5" x14ac:dyDescent="0.2">
      <c r="A51" t="s">
        <v>813</v>
      </c>
      <c r="B51">
        <v>18</v>
      </c>
      <c r="C51">
        <v>13</v>
      </c>
      <c r="D51" s="91">
        <f t="shared" si="1"/>
        <v>1.2650462962962964E-2</v>
      </c>
      <c r="E51" s="45"/>
    </row>
    <row r="52" spans="1:5" x14ac:dyDescent="0.2">
      <c r="A52" t="s">
        <v>814</v>
      </c>
      <c r="B52">
        <v>32</v>
      </c>
      <c r="C52">
        <v>5</v>
      </c>
      <c r="D52" s="91">
        <f t="shared" si="1"/>
        <v>2.2280092592592594E-2</v>
      </c>
      <c r="E52" s="45"/>
    </row>
    <row r="53" spans="1:5" x14ac:dyDescent="0.2">
      <c r="A53" t="s">
        <v>815</v>
      </c>
      <c r="B53">
        <v>36</v>
      </c>
      <c r="C53">
        <v>58</v>
      </c>
      <c r="D53" s="91">
        <f t="shared" si="1"/>
        <v>2.5671296296296296E-2</v>
      </c>
      <c r="E53" s="45"/>
    </row>
    <row r="54" spans="1:5" x14ac:dyDescent="0.2">
      <c r="A54" t="s">
        <v>816</v>
      </c>
      <c r="B54">
        <v>62</v>
      </c>
      <c r="C54">
        <v>44</v>
      </c>
      <c r="D54" s="91">
        <f t="shared" si="1"/>
        <v>4.3564814814814813E-2</v>
      </c>
      <c r="E54" s="45"/>
    </row>
    <row r="55" spans="1:5" x14ac:dyDescent="0.2">
      <c r="A55" t="s">
        <v>817</v>
      </c>
      <c r="B55">
        <v>38</v>
      </c>
      <c r="C55">
        <v>17</v>
      </c>
      <c r="D55" s="91">
        <f t="shared" si="1"/>
        <v>2.6585648148148146E-2</v>
      </c>
      <c r="E55" s="45"/>
    </row>
    <row r="56" spans="1:5" x14ac:dyDescent="0.2">
      <c r="A56" t="s">
        <v>818</v>
      </c>
      <c r="B56">
        <v>25</v>
      </c>
      <c r="C56">
        <v>47</v>
      </c>
      <c r="D56" s="91">
        <f t="shared" si="1"/>
        <v>1.7905092592592594E-2</v>
      </c>
      <c r="E56" s="45"/>
    </row>
    <row r="57" spans="1:5" x14ac:dyDescent="0.2">
      <c r="A57" t="s">
        <v>819</v>
      </c>
      <c r="B57">
        <v>33</v>
      </c>
      <c r="C57">
        <v>17</v>
      </c>
      <c r="D57" s="91">
        <f t="shared" si="1"/>
        <v>2.3113425925925923E-2</v>
      </c>
      <c r="E57" s="45"/>
    </row>
    <row r="58" spans="1:5" x14ac:dyDescent="0.2">
      <c r="A58" t="s">
        <v>820</v>
      </c>
      <c r="B58">
        <v>44</v>
      </c>
      <c r="C58">
        <v>36</v>
      </c>
      <c r="D58" s="91">
        <f t="shared" si="1"/>
        <v>3.097222222222222E-2</v>
      </c>
      <c r="E58" s="45"/>
    </row>
    <row r="59" spans="1:5" x14ac:dyDescent="0.2">
      <c r="A59" s="25" t="s">
        <v>821</v>
      </c>
      <c r="D59" s="93">
        <f>SUM(D37:D58)</f>
        <v>0.65162037037037013</v>
      </c>
      <c r="E59" s="45"/>
    </row>
    <row r="60" spans="1:5" x14ac:dyDescent="0.2">
      <c r="A60" t="s">
        <v>799</v>
      </c>
      <c r="B60">
        <v>6</v>
      </c>
      <c r="C60">
        <v>9</v>
      </c>
      <c r="D60" s="91">
        <f t="shared" si="1"/>
        <v>4.2708333333333331E-3</v>
      </c>
      <c r="E60" s="45"/>
    </row>
    <row r="61" spans="1:5" x14ac:dyDescent="0.2">
      <c r="A61" t="s">
        <v>822</v>
      </c>
      <c r="B61">
        <v>18</v>
      </c>
      <c r="C61">
        <v>36</v>
      </c>
      <c r="D61" s="91">
        <f t="shared" si="1"/>
        <v>1.2916666666666667E-2</v>
      </c>
      <c r="E61" s="45"/>
    </row>
    <row r="62" spans="1:5" x14ac:dyDescent="0.2">
      <c r="A62" t="s">
        <v>823</v>
      </c>
      <c r="B62">
        <v>31</v>
      </c>
      <c r="C62">
        <v>54</v>
      </c>
      <c r="D62" s="91">
        <f t="shared" si="1"/>
        <v>2.2152777777777778E-2</v>
      </c>
      <c r="E62" s="45"/>
    </row>
    <row r="63" spans="1:5" x14ac:dyDescent="0.2">
      <c r="A63" t="s">
        <v>824</v>
      </c>
      <c r="B63">
        <v>39</v>
      </c>
      <c r="C63">
        <v>2</v>
      </c>
      <c r="D63" s="91">
        <f t="shared" si="1"/>
        <v>2.7106481481481481E-2</v>
      </c>
      <c r="E63" s="45"/>
    </row>
    <row r="64" spans="1:5" x14ac:dyDescent="0.2">
      <c r="A64" t="s">
        <v>825</v>
      </c>
      <c r="B64">
        <v>38</v>
      </c>
      <c r="C64">
        <v>51</v>
      </c>
      <c r="D64" s="91">
        <f t="shared" si="1"/>
        <v>2.6979166666666665E-2</v>
      </c>
      <c r="E64" s="45"/>
    </row>
    <row r="65" spans="1:5" x14ac:dyDescent="0.2">
      <c r="A65" t="s">
        <v>826</v>
      </c>
      <c r="B65">
        <v>38</v>
      </c>
      <c r="C65">
        <v>8</v>
      </c>
      <c r="D65" s="91">
        <f t="shared" si="1"/>
        <v>2.6481481481481481E-2</v>
      </c>
      <c r="E65" s="45"/>
    </row>
    <row r="66" spans="1:5" x14ac:dyDescent="0.2">
      <c r="A66" t="s">
        <v>827</v>
      </c>
      <c r="B66">
        <v>66</v>
      </c>
      <c r="C66">
        <v>2</v>
      </c>
      <c r="D66" s="91">
        <f t="shared" si="1"/>
        <v>4.5856481481481477E-2</v>
      </c>
      <c r="E66" s="45"/>
    </row>
    <row r="67" spans="1:5" x14ac:dyDescent="0.2">
      <c r="A67" t="s">
        <v>828</v>
      </c>
      <c r="B67">
        <v>24</v>
      </c>
      <c r="C67">
        <v>59</v>
      </c>
      <c r="D67" s="91">
        <f t="shared" ref="D67:D98" si="2">B67/1440+C67/86400</f>
        <v>1.7349537037037038E-2</v>
      </c>
      <c r="E67" s="45"/>
    </row>
    <row r="68" spans="1:5" x14ac:dyDescent="0.2">
      <c r="A68" t="s">
        <v>829</v>
      </c>
      <c r="B68">
        <v>16</v>
      </c>
      <c r="C68">
        <v>44</v>
      </c>
      <c r="D68" s="91">
        <f t="shared" si="2"/>
        <v>1.1620370370370371E-2</v>
      </c>
      <c r="E68" s="45"/>
    </row>
    <row r="69" spans="1:5" x14ac:dyDescent="0.2">
      <c r="A69" t="s">
        <v>830</v>
      </c>
      <c r="B69">
        <v>17</v>
      </c>
      <c r="C69">
        <v>1</v>
      </c>
      <c r="D69" s="91">
        <f t="shared" si="2"/>
        <v>1.1817129629629629E-2</v>
      </c>
      <c r="E69" s="45"/>
    </row>
    <row r="70" spans="1:5" x14ac:dyDescent="0.2">
      <c r="A70" t="s">
        <v>831</v>
      </c>
      <c r="B70">
        <v>24</v>
      </c>
      <c r="C70">
        <v>36</v>
      </c>
      <c r="D70" s="91">
        <f t="shared" si="2"/>
        <v>1.7083333333333332E-2</v>
      </c>
      <c r="E70" s="45"/>
    </row>
    <row r="71" spans="1:5" x14ac:dyDescent="0.2">
      <c r="A71" t="s">
        <v>832</v>
      </c>
      <c r="B71">
        <v>31</v>
      </c>
      <c r="C71">
        <v>34</v>
      </c>
      <c r="D71" s="91">
        <f t="shared" si="2"/>
        <v>2.1921296296296296E-2</v>
      </c>
      <c r="E71" s="45"/>
    </row>
    <row r="72" spans="1:5" x14ac:dyDescent="0.2">
      <c r="A72" t="s">
        <v>833</v>
      </c>
      <c r="B72">
        <v>21</v>
      </c>
      <c r="C72">
        <v>59</v>
      </c>
      <c r="D72" s="91">
        <f t="shared" si="2"/>
        <v>1.5266203703703704E-2</v>
      </c>
      <c r="E72" s="45"/>
    </row>
    <row r="73" spans="1:5" x14ac:dyDescent="0.2">
      <c r="A73" t="s">
        <v>834</v>
      </c>
      <c r="B73">
        <v>21</v>
      </c>
      <c r="C73">
        <v>49</v>
      </c>
      <c r="D73" s="91">
        <f t="shared" si="2"/>
        <v>1.5150462962962963E-2</v>
      </c>
      <c r="E73" s="45"/>
    </row>
    <row r="74" spans="1:5" x14ac:dyDescent="0.2">
      <c r="A74" t="s">
        <v>835</v>
      </c>
      <c r="B74">
        <v>20</v>
      </c>
      <c r="C74">
        <v>28</v>
      </c>
      <c r="D74" s="91">
        <f t="shared" si="2"/>
        <v>1.4212962962962962E-2</v>
      </c>
      <c r="E74" s="45"/>
    </row>
    <row r="75" spans="1:5" x14ac:dyDescent="0.2">
      <c r="A75" t="s">
        <v>836</v>
      </c>
      <c r="B75">
        <v>29</v>
      </c>
      <c r="C75">
        <v>20</v>
      </c>
      <c r="D75" s="91">
        <f t="shared" si="2"/>
        <v>2.0370370370370372E-2</v>
      </c>
      <c r="E75" s="45"/>
    </row>
    <row r="76" spans="1:5" x14ac:dyDescent="0.2">
      <c r="A76" t="s">
        <v>837</v>
      </c>
      <c r="B76">
        <v>61</v>
      </c>
      <c r="C76">
        <v>16</v>
      </c>
      <c r="D76" s="91">
        <f t="shared" si="2"/>
        <v>4.2546296296296297E-2</v>
      </c>
      <c r="E76" s="45"/>
    </row>
    <row r="77" spans="1:5" x14ac:dyDescent="0.2">
      <c r="A77" t="s">
        <v>838</v>
      </c>
      <c r="B77">
        <v>21</v>
      </c>
      <c r="C77">
        <v>17</v>
      </c>
      <c r="D77" s="91">
        <f t="shared" si="2"/>
        <v>1.4780092592592593E-2</v>
      </c>
      <c r="E77" s="45"/>
    </row>
    <row r="78" spans="1:5" x14ac:dyDescent="0.2">
      <c r="A78" t="s">
        <v>839</v>
      </c>
      <c r="B78">
        <v>19</v>
      </c>
      <c r="C78">
        <v>35</v>
      </c>
      <c r="D78" s="91">
        <f t="shared" si="2"/>
        <v>1.3599537037037037E-2</v>
      </c>
      <c r="E78" s="45"/>
    </row>
    <row r="79" spans="1:5" x14ac:dyDescent="0.2">
      <c r="A79" t="s">
        <v>840</v>
      </c>
      <c r="B79">
        <v>68</v>
      </c>
      <c r="C79">
        <v>42</v>
      </c>
      <c r="D79" s="91">
        <f t="shared" si="2"/>
        <v>4.7708333333333332E-2</v>
      </c>
      <c r="E79" s="45"/>
    </row>
    <row r="80" spans="1:5" x14ac:dyDescent="0.2">
      <c r="A80" t="s">
        <v>841</v>
      </c>
      <c r="B80">
        <v>49</v>
      </c>
      <c r="C80">
        <v>36</v>
      </c>
      <c r="D80" s="91">
        <f t="shared" si="2"/>
        <v>3.4444444444444444E-2</v>
      </c>
      <c r="E80" s="45"/>
    </row>
    <row r="81" spans="1:5" x14ac:dyDescent="0.2">
      <c r="A81" t="s">
        <v>842</v>
      </c>
      <c r="B81">
        <v>29</v>
      </c>
      <c r="C81">
        <v>12</v>
      </c>
      <c r="D81" s="91">
        <f t="shared" si="2"/>
        <v>2.027777777777778E-2</v>
      </c>
      <c r="E81" s="45"/>
    </row>
    <row r="82" spans="1:5" x14ac:dyDescent="0.2">
      <c r="A82" t="s">
        <v>843</v>
      </c>
      <c r="B82">
        <v>57</v>
      </c>
      <c r="C82">
        <v>24</v>
      </c>
      <c r="D82" s="91">
        <f t="shared" si="2"/>
        <v>3.9861111111111111E-2</v>
      </c>
      <c r="E82" s="45"/>
    </row>
    <row r="83" spans="1:5" x14ac:dyDescent="0.2">
      <c r="A83" t="s">
        <v>844</v>
      </c>
      <c r="B83">
        <v>20</v>
      </c>
      <c r="C83">
        <v>33</v>
      </c>
      <c r="D83" s="91">
        <f t="shared" si="2"/>
        <v>1.4270833333333333E-2</v>
      </c>
      <c r="E83" s="45"/>
    </row>
    <row r="84" spans="1:5" x14ac:dyDescent="0.2">
      <c r="A84" t="s">
        <v>845</v>
      </c>
      <c r="B84">
        <v>57</v>
      </c>
      <c r="C84">
        <v>23</v>
      </c>
      <c r="D84" s="91">
        <f t="shared" si="2"/>
        <v>3.9849537037037037E-2</v>
      </c>
      <c r="E84" s="45"/>
    </row>
    <row r="85" spans="1:5" x14ac:dyDescent="0.2">
      <c r="A85" t="s">
        <v>846</v>
      </c>
      <c r="B85">
        <v>59</v>
      </c>
      <c r="C85">
        <v>53</v>
      </c>
      <c r="D85" s="91">
        <f t="shared" si="2"/>
        <v>4.1585648148148149E-2</v>
      </c>
      <c r="E85" s="45"/>
    </row>
    <row r="86" spans="1:5" x14ac:dyDescent="0.2">
      <c r="A86" t="s">
        <v>847</v>
      </c>
      <c r="B86">
        <v>53</v>
      </c>
      <c r="C86">
        <v>52</v>
      </c>
      <c r="D86" s="91">
        <f t="shared" si="2"/>
        <v>3.740740740740741E-2</v>
      </c>
      <c r="E86" s="45"/>
    </row>
    <row r="87" spans="1:5" x14ac:dyDescent="0.2">
      <c r="A87" t="s">
        <v>848</v>
      </c>
      <c r="B87">
        <v>30</v>
      </c>
      <c r="C87">
        <v>7</v>
      </c>
      <c r="D87" s="91">
        <f t="shared" si="2"/>
        <v>2.0914351851851851E-2</v>
      </c>
      <c r="E87" s="45"/>
    </row>
    <row r="88" spans="1:5" x14ac:dyDescent="0.2">
      <c r="A88" t="s">
        <v>849</v>
      </c>
      <c r="B88">
        <v>16</v>
      </c>
      <c r="C88">
        <v>21</v>
      </c>
      <c r="D88" s="91">
        <f t="shared" si="2"/>
        <v>1.1354166666666667E-2</v>
      </c>
      <c r="E88" s="45"/>
    </row>
    <row r="89" spans="1:5" x14ac:dyDescent="0.2">
      <c r="A89" t="s">
        <v>850</v>
      </c>
      <c r="B89">
        <v>16</v>
      </c>
      <c r="C89">
        <v>32</v>
      </c>
      <c r="D89" s="91">
        <f t="shared" si="2"/>
        <v>1.1481481481481481E-2</v>
      </c>
      <c r="E89" s="45"/>
    </row>
    <row r="90" spans="1:5" x14ac:dyDescent="0.2">
      <c r="A90" t="s">
        <v>851</v>
      </c>
      <c r="B90">
        <v>54</v>
      </c>
      <c r="C90">
        <v>51</v>
      </c>
      <c r="D90" s="91">
        <f t="shared" si="2"/>
        <v>3.8090277777777778E-2</v>
      </c>
      <c r="E90" s="45"/>
    </row>
    <row r="91" spans="1:5" x14ac:dyDescent="0.2">
      <c r="A91" t="s">
        <v>852</v>
      </c>
      <c r="B91">
        <v>23</v>
      </c>
      <c r="C91">
        <v>54</v>
      </c>
      <c r="D91" s="91">
        <f t="shared" si="2"/>
        <v>1.6597222222222222E-2</v>
      </c>
      <c r="E91" s="45"/>
    </row>
    <row r="92" spans="1:5" x14ac:dyDescent="0.2">
      <c r="A92" t="s">
        <v>853</v>
      </c>
      <c r="B92">
        <v>44</v>
      </c>
      <c r="C92">
        <v>6</v>
      </c>
      <c r="D92" s="91">
        <f t="shared" si="2"/>
        <v>3.0624999999999999E-2</v>
      </c>
      <c r="E92" s="45"/>
    </row>
    <row r="93" spans="1:5" x14ac:dyDescent="0.2">
      <c r="A93" t="s">
        <v>854</v>
      </c>
      <c r="B93">
        <v>26</v>
      </c>
      <c r="C93">
        <v>30</v>
      </c>
      <c r="D93" s="91">
        <f t="shared" si="2"/>
        <v>1.8402777777777775E-2</v>
      </c>
      <c r="E93" s="45"/>
    </row>
    <row r="94" spans="1:5" x14ac:dyDescent="0.2">
      <c r="A94" t="s">
        <v>855</v>
      </c>
      <c r="B94">
        <v>64</v>
      </c>
      <c r="C94">
        <v>17</v>
      </c>
      <c r="D94" s="91">
        <f t="shared" si="2"/>
        <v>4.4641203703703704E-2</v>
      </c>
      <c r="E94" s="45"/>
    </row>
    <row r="95" spans="1:5" x14ac:dyDescent="0.2">
      <c r="A95" t="s">
        <v>856</v>
      </c>
      <c r="B95">
        <v>26</v>
      </c>
      <c r="C95">
        <v>22</v>
      </c>
      <c r="D95" s="91">
        <f t="shared" si="2"/>
        <v>1.8310185185185183E-2</v>
      </c>
      <c r="E95" s="45"/>
    </row>
    <row r="96" spans="1:5" x14ac:dyDescent="0.2">
      <c r="A96" t="s">
        <v>857</v>
      </c>
      <c r="B96">
        <v>44</v>
      </c>
      <c r="C96">
        <v>10</v>
      </c>
      <c r="D96" s="91">
        <f t="shared" si="2"/>
        <v>3.0671296296296294E-2</v>
      </c>
      <c r="E96" s="45"/>
    </row>
    <row r="97" spans="1:5" x14ac:dyDescent="0.2">
      <c r="A97" t="s">
        <v>858</v>
      </c>
      <c r="B97">
        <v>30</v>
      </c>
      <c r="C97">
        <v>43</v>
      </c>
      <c r="D97" s="91">
        <f t="shared" si="2"/>
        <v>2.1331018518518517E-2</v>
      </c>
      <c r="E97" s="45"/>
    </row>
    <row r="98" spans="1:5" x14ac:dyDescent="0.2">
      <c r="A98" t="s">
        <v>859</v>
      </c>
      <c r="B98">
        <v>46</v>
      </c>
      <c r="C98">
        <v>16</v>
      </c>
      <c r="D98" s="91">
        <f t="shared" si="2"/>
        <v>3.2129629629629626E-2</v>
      </c>
      <c r="E98" s="45"/>
    </row>
    <row r="99" spans="1:5" x14ac:dyDescent="0.2">
      <c r="A99" t="s">
        <v>860</v>
      </c>
      <c r="B99">
        <v>22</v>
      </c>
      <c r="C99">
        <v>24</v>
      </c>
      <c r="D99" s="91">
        <f t="shared" ref="D99:D102" si="3">B99/1440+C99/86400</f>
        <v>1.5555555555555555E-2</v>
      </c>
      <c r="E99" s="45"/>
    </row>
    <row r="100" spans="1:5" x14ac:dyDescent="0.2">
      <c r="A100" t="s">
        <v>861</v>
      </c>
      <c r="B100">
        <v>34</v>
      </c>
      <c r="C100">
        <v>42</v>
      </c>
      <c r="D100" s="91">
        <f t="shared" si="3"/>
        <v>2.4097222222222221E-2</v>
      </c>
      <c r="E100" s="45"/>
    </row>
    <row r="101" spans="1:5" x14ac:dyDescent="0.2">
      <c r="A101" t="s">
        <v>862</v>
      </c>
      <c r="B101">
        <v>18</v>
      </c>
      <c r="C101">
        <v>30</v>
      </c>
      <c r="D101" s="91">
        <f t="shared" si="3"/>
        <v>1.2847222222222223E-2</v>
      </c>
      <c r="E101" s="45"/>
    </row>
    <row r="102" spans="1:5" x14ac:dyDescent="0.2">
      <c r="A102" t="s">
        <v>863</v>
      </c>
      <c r="B102">
        <v>4</v>
      </c>
      <c r="C102">
        <v>54</v>
      </c>
      <c r="D102" s="91">
        <f t="shared" si="3"/>
        <v>3.402777777777778E-3</v>
      </c>
      <c r="E102" s="45"/>
    </row>
    <row r="103" spans="1:5" x14ac:dyDescent="0.2">
      <c r="A103" s="11" t="str">
        <f>"总时长："&amp;TEXT(SUM(B:B)/1440+SUM(C:C)/86400,"[h]:mm:ss")</f>
        <v>总时长：59:26:28</v>
      </c>
      <c r="D103" s="93">
        <f>SUM(D60:D102)</f>
        <v>1.0073379629629633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84A4-8D96-4893-8540-2AA12A87E9FD}">
  <dimension ref="A1:F74"/>
  <sheetViews>
    <sheetView workbookViewId="0">
      <pane xSplit="4" ySplit="1" topLeftCell="E59" activePane="bottomRight" state="frozen"/>
      <selection pane="topRight" activeCell="E1" sqref="E1"/>
      <selection pane="bottomLeft" activeCell="A2" sqref="A2"/>
      <selection pane="bottomRight" activeCell="A68" sqref="A68"/>
    </sheetView>
  </sheetViews>
  <sheetFormatPr defaultRowHeight="14.25" x14ac:dyDescent="0.2"/>
  <cols>
    <col min="1" max="1" width="36.25" bestFit="1" customWidth="1"/>
  </cols>
  <sheetData>
    <row r="1" spans="1:6" ht="19.5" x14ac:dyDescent="0.2">
      <c r="A1" s="13" t="s">
        <v>35</v>
      </c>
      <c r="B1" s="14" t="s">
        <v>36</v>
      </c>
      <c r="C1" s="14" t="s">
        <v>37</v>
      </c>
      <c r="D1" s="15" t="s">
        <v>53</v>
      </c>
      <c r="F1" s="31" t="s">
        <v>965</v>
      </c>
    </row>
    <row r="2" spans="1:6" x14ac:dyDescent="0.2">
      <c r="A2" s="25" t="s">
        <v>893</v>
      </c>
    </row>
    <row r="3" spans="1:6" x14ac:dyDescent="0.2">
      <c r="A3" t="s">
        <v>894</v>
      </c>
      <c r="B3">
        <v>34</v>
      </c>
      <c r="C3">
        <v>28</v>
      </c>
      <c r="D3" s="91">
        <f t="shared" ref="D3:D34" si="0">IF(ISBLANK(C3),"",B3/1440+C3/86400)</f>
        <v>2.3935185185185184E-2</v>
      </c>
    </row>
    <row r="4" spans="1:6" x14ac:dyDescent="0.2">
      <c r="A4" t="s">
        <v>895</v>
      </c>
      <c r="B4">
        <v>25</v>
      </c>
      <c r="C4">
        <v>15</v>
      </c>
      <c r="D4" s="91">
        <f t="shared" si="0"/>
        <v>1.7534722222222222E-2</v>
      </c>
    </row>
    <row r="5" spans="1:6" x14ac:dyDescent="0.2">
      <c r="A5" t="s">
        <v>896</v>
      </c>
      <c r="B5">
        <v>33</v>
      </c>
      <c r="C5">
        <v>57</v>
      </c>
      <c r="D5" s="91">
        <f t="shared" si="0"/>
        <v>2.3576388888888886E-2</v>
      </c>
    </row>
    <row r="6" spans="1:6" x14ac:dyDescent="0.2">
      <c r="A6" t="s">
        <v>897</v>
      </c>
      <c r="B6">
        <v>12</v>
      </c>
      <c r="C6">
        <v>6</v>
      </c>
      <c r="D6" s="91">
        <f t="shared" si="0"/>
        <v>8.4027777777777781E-3</v>
      </c>
    </row>
    <row r="7" spans="1:6" x14ac:dyDescent="0.2">
      <c r="A7" t="s">
        <v>898</v>
      </c>
      <c r="B7">
        <v>39</v>
      </c>
      <c r="C7">
        <v>14</v>
      </c>
      <c r="D7" s="91">
        <f t="shared" si="0"/>
        <v>2.7245370370370371E-2</v>
      </c>
    </row>
    <row r="8" spans="1:6" x14ac:dyDescent="0.2">
      <c r="A8" t="s">
        <v>899</v>
      </c>
      <c r="B8">
        <v>61</v>
      </c>
      <c r="C8">
        <v>27</v>
      </c>
      <c r="D8" s="91">
        <f t="shared" si="0"/>
        <v>4.2673611111111114E-2</v>
      </c>
    </row>
    <row r="9" spans="1:6" x14ac:dyDescent="0.2">
      <c r="A9" t="s">
        <v>900</v>
      </c>
      <c r="B9">
        <v>29</v>
      </c>
      <c r="C9">
        <v>32</v>
      </c>
      <c r="D9" s="91">
        <f t="shared" si="0"/>
        <v>2.0509259259259262E-2</v>
      </c>
    </row>
    <row r="10" spans="1:6" x14ac:dyDescent="0.2">
      <c r="A10" t="s">
        <v>901</v>
      </c>
      <c r="B10">
        <v>37</v>
      </c>
      <c r="C10">
        <v>29</v>
      </c>
      <c r="D10" s="91">
        <f t="shared" si="0"/>
        <v>2.6030092592592591E-2</v>
      </c>
    </row>
    <row r="11" spans="1:6" x14ac:dyDescent="0.2">
      <c r="A11" t="s">
        <v>902</v>
      </c>
      <c r="B11">
        <v>63</v>
      </c>
      <c r="C11">
        <v>40</v>
      </c>
      <c r="D11" s="91">
        <f t="shared" si="0"/>
        <v>4.4212962962962961E-2</v>
      </c>
    </row>
    <row r="12" spans="1:6" x14ac:dyDescent="0.2">
      <c r="A12" t="s">
        <v>903</v>
      </c>
      <c r="B12">
        <v>56</v>
      </c>
      <c r="C12">
        <v>10</v>
      </c>
      <c r="D12" s="91">
        <f t="shared" si="0"/>
        <v>3.9004629629629632E-2</v>
      </c>
    </row>
    <row r="13" spans="1:6" x14ac:dyDescent="0.2">
      <c r="A13" t="s">
        <v>904</v>
      </c>
      <c r="B13">
        <v>34</v>
      </c>
      <c r="C13">
        <v>32</v>
      </c>
      <c r="D13" s="91">
        <f t="shared" si="0"/>
        <v>2.3981481481481482E-2</v>
      </c>
    </row>
    <row r="14" spans="1:6" x14ac:dyDescent="0.2">
      <c r="A14" t="s">
        <v>905</v>
      </c>
      <c r="B14">
        <v>24</v>
      </c>
      <c r="C14">
        <v>13</v>
      </c>
      <c r="D14" s="91">
        <f t="shared" si="0"/>
        <v>1.681712962962963E-2</v>
      </c>
    </row>
    <row r="15" spans="1:6" x14ac:dyDescent="0.2">
      <c r="A15" t="s">
        <v>906</v>
      </c>
      <c r="B15">
        <v>47</v>
      </c>
      <c r="C15">
        <v>32</v>
      </c>
      <c r="D15" s="91">
        <f t="shared" si="0"/>
        <v>3.3009259259259259E-2</v>
      </c>
    </row>
    <row r="16" spans="1:6" x14ac:dyDescent="0.2">
      <c r="A16" t="s">
        <v>907</v>
      </c>
      <c r="B16">
        <v>16</v>
      </c>
      <c r="C16">
        <v>22</v>
      </c>
      <c r="D16" s="91">
        <f t="shared" si="0"/>
        <v>1.136574074074074E-2</v>
      </c>
      <c r="E16" s="92">
        <f>SUM(D3:D16)</f>
        <v>0.35829861111111111</v>
      </c>
    </row>
    <row r="17" spans="1:5" x14ac:dyDescent="0.2">
      <c r="A17" s="25" t="s">
        <v>908</v>
      </c>
      <c r="D17" s="91"/>
    </row>
    <row r="18" spans="1:5" x14ac:dyDescent="0.2">
      <c r="A18" t="s">
        <v>909</v>
      </c>
      <c r="B18">
        <v>20</v>
      </c>
      <c r="C18">
        <v>46</v>
      </c>
      <c r="D18" s="91">
        <f t="shared" si="0"/>
        <v>1.4421296296296295E-2</v>
      </c>
    </row>
    <row r="19" spans="1:5" x14ac:dyDescent="0.2">
      <c r="A19" t="s">
        <v>910</v>
      </c>
      <c r="B19">
        <v>20</v>
      </c>
      <c r="C19">
        <v>39</v>
      </c>
      <c r="D19" s="91">
        <f t="shared" si="0"/>
        <v>1.4340277777777776E-2</v>
      </c>
    </row>
    <row r="20" spans="1:5" x14ac:dyDescent="0.2">
      <c r="A20" t="s">
        <v>911</v>
      </c>
      <c r="B20">
        <v>66</v>
      </c>
      <c r="C20">
        <v>35</v>
      </c>
      <c r="D20" s="91">
        <f t="shared" si="0"/>
        <v>4.6238425925925926E-2</v>
      </c>
    </row>
    <row r="21" spans="1:5" x14ac:dyDescent="0.2">
      <c r="A21" t="s">
        <v>912</v>
      </c>
      <c r="B21">
        <v>23</v>
      </c>
      <c r="C21">
        <v>45</v>
      </c>
      <c r="D21" s="91">
        <f t="shared" si="0"/>
        <v>1.6493055555555556E-2</v>
      </c>
    </row>
    <row r="22" spans="1:5" x14ac:dyDescent="0.2">
      <c r="A22" t="s">
        <v>913</v>
      </c>
      <c r="B22">
        <v>40</v>
      </c>
      <c r="C22">
        <v>52</v>
      </c>
      <c r="D22" s="91">
        <f t="shared" si="0"/>
        <v>2.837962962962963E-2</v>
      </c>
    </row>
    <row r="23" spans="1:5" x14ac:dyDescent="0.2">
      <c r="A23" t="s">
        <v>914</v>
      </c>
      <c r="B23">
        <v>24</v>
      </c>
      <c r="C23">
        <v>34</v>
      </c>
      <c r="D23" s="91">
        <f t="shared" si="0"/>
        <v>1.7060185185185185E-2</v>
      </c>
    </row>
    <row r="24" spans="1:5" x14ac:dyDescent="0.2">
      <c r="A24" t="s">
        <v>915</v>
      </c>
      <c r="B24">
        <v>57</v>
      </c>
      <c r="C24">
        <v>53</v>
      </c>
      <c r="D24" s="91">
        <f t="shared" si="0"/>
        <v>4.0196759259259258E-2</v>
      </c>
    </row>
    <row r="25" spans="1:5" x14ac:dyDescent="0.2">
      <c r="A25" t="s">
        <v>916</v>
      </c>
      <c r="B25">
        <v>7</v>
      </c>
      <c r="C25">
        <v>52</v>
      </c>
      <c r="D25" s="91">
        <f t="shared" si="0"/>
        <v>5.4629629629629629E-3</v>
      </c>
      <c r="E25" s="92">
        <f>SUM(D18:D25)</f>
        <v>0.18259259259259258</v>
      </c>
    </row>
    <row r="26" spans="1:5" x14ac:dyDescent="0.2">
      <c r="A26" s="25" t="s">
        <v>917</v>
      </c>
      <c r="D26" s="91"/>
    </row>
    <row r="27" spans="1:5" x14ac:dyDescent="0.2">
      <c r="A27" t="s">
        <v>918</v>
      </c>
      <c r="B27">
        <v>38</v>
      </c>
      <c r="C27">
        <v>22</v>
      </c>
      <c r="D27" s="91">
        <f t="shared" si="0"/>
        <v>2.6643518518518518E-2</v>
      </c>
    </row>
    <row r="28" spans="1:5" x14ac:dyDescent="0.2">
      <c r="A28" t="s">
        <v>919</v>
      </c>
      <c r="B28">
        <v>13</v>
      </c>
      <c r="C28">
        <v>22</v>
      </c>
      <c r="D28" s="91">
        <f t="shared" si="0"/>
        <v>9.2824074074074059E-3</v>
      </c>
    </row>
    <row r="29" spans="1:5" x14ac:dyDescent="0.2">
      <c r="A29" t="s">
        <v>920</v>
      </c>
      <c r="B29">
        <v>39</v>
      </c>
      <c r="C29">
        <v>16</v>
      </c>
      <c r="D29" s="91">
        <f t="shared" si="0"/>
        <v>2.7268518518518518E-2</v>
      </c>
    </row>
    <row r="30" spans="1:5" x14ac:dyDescent="0.2">
      <c r="A30" t="s">
        <v>921</v>
      </c>
      <c r="B30">
        <v>41</v>
      </c>
      <c r="C30">
        <v>2</v>
      </c>
      <c r="D30" s="91">
        <f t="shared" si="0"/>
        <v>2.8495370370370369E-2</v>
      </c>
    </row>
    <row r="31" spans="1:5" x14ac:dyDescent="0.2">
      <c r="A31" t="s">
        <v>922</v>
      </c>
      <c r="B31">
        <v>25</v>
      </c>
      <c r="C31">
        <v>48</v>
      </c>
      <c r="D31" s="91">
        <f t="shared" si="0"/>
        <v>1.7916666666666668E-2</v>
      </c>
    </row>
    <row r="32" spans="1:5" x14ac:dyDescent="0.2">
      <c r="A32" t="s">
        <v>923</v>
      </c>
      <c r="B32">
        <v>37</v>
      </c>
      <c r="C32">
        <v>36</v>
      </c>
      <c r="D32" s="91">
        <f t="shared" si="0"/>
        <v>2.6111111111111109E-2</v>
      </c>
    </row>
    <row r="33" spans="1:5" x14ac:dyDescent="0.2">
      <c r="A33" t="s">
        <v>924</v>
      </c>
      <c r="B33">
        <v>36</v>
      </c>
      <c r="C33">
        <v>6</v>
      </c>
      <c r="D33" s="91">
        <f t="shared" si="0"/>
        <v>2.5069444444444446E-2</v>
      </c>
    </row>
    <row r="34" spans="1:5" x14ac:dyDescent="0.2">
      <c r="A34" t="s">
        <v>925</v>
      </c>
      <c r="B34">
        <v>17</v>
      </c>
      <c r="C34">
        <v>20</v>
      </c>
      <c r="D34" s="91">
        <f t="shared" si="0"/>
        <v>1.2037037037037037E-2</v>
      </c>
    </row>
    <row r="35" spans="1:5" x14ac:dyDescent="0.2">
      <c r="A35" t="s">
        <v>926</v>
      </c>
      <c r="B35">
        <v>43</v>
      </c>
      <c r="C35">
        <v>59</v>
      </c>
      <c r="D35" s="91">
        <f t="shared" ref="D35:D65" si="1">IF(ISBLANK(C35),"",B35/1440+C35/86400)</f>
        <v>3.0543981481481484E-2</v>
      </c>
    </row>
    <row r="36" spans="1:5" x14ac:dyDescent="0.2">
      <c r="A36" t="s">
        <v>927</v>
      </c>
      <c r="B36">
        <v>58</v>
      </c>
      <c r="C36">
        <v>9</v>
      </c>
      <c r="D36" s="91">
        <f t="shared" si="1"/>
        <v>4.0381944444444449E-2</v>
      </c>
    </row>
    <row r="37" spans="1:5" x14ac:dyDescent="0.2">
      <c r="A37" t="s">
        <v>928</v>
      </c>
      <c r="B37">
        <v>9</v>
      </c>
      <c r="C37">
        <v>45</v>
      </c>
      <c r="D37" s="91">
        <f t="shared" si="1"/>
        <v>6.7708333333333336E-3</v>
      </c>
    </row>
    <row r="38" spans="1:5" x14ac:dyDescent="0.2">
      <c r="A38" t="s">
        <v>929</v>
      </c>
      <c r="B38">
        <v>31</v>
      </c>
      <c r="C38">
        <v>2</v>
      </c>
      <c r="D38" s="91">
        <f t="shared" si="1"/>
        <v>2.1550925925925925E-2</v>
      </c>
      <c r="E38" s="92">
        <f>SUM(D27:D38)</f>
        <v>0.2720717592592593</v>
      </c>
    </row>
    <row r="39" spans="1:5" x14ac:dyDescent="0.2">
      <c r="A39" s="25" t="s">
        <v>930</v>
      </c>
      <c r="D39" s="91"/>
    </row>
    <row r="40" spans="1:5" x14ac:dyDescent="0.2">
      <c r="A40" t="s">
        <v>931</v>
      </c>
      <c r="B40">
        <v>33</v>
      </c>
      <c r="C40">
        <v>37</v>
      </c>
      <c r="D40" s="91">
        <f t="shared" si="1"/>
        <v>2.3344907407407404E-2</v>
      </c>
    </row>
    <row r="41" spans="1:5" x14ac:dyDescent="0.2">
      <c r="A41" t="s">
        <v>932</v>
      </c>
      <c r="B41">
        <v>9</v>
      </c>
      <c r="C41">
        <v>41</v>
      </c>
      <c r="D41" s="91">
        <f t="shared" si="1"/>
        <v>6.7245370370370375E-3</v>
      </c>
    </row>
    <row r="42" spans="1:5" x14ac:dyDescent="0.2">
      <c r="A42" t="s">
        <v>933</v>
      </c>
      <c r="B42">
        <v>25</v>
      </c>
      <c r="C42">
        <v>49</v>
      </c>
      <c r="D42" s="91">
        <f t="shared" si="1"/>
        <v>1.7928240740740741E-2</v>
      </c>
    </row>
    <row r="43" spans="1:5" x14ac:dyDescent="0.2">
      <c r="A43" t="s">
        <v>934</v>
      </c>
      <c r="B43">
        <v>26</v>
      </c>
      <c r="C43">
        <v>19</v>
      </c>
      <c r="D43" s="91">
        <f t="shared" si="1"/>
        <v>1.8275462962962962E-2</v>
      </c>
    </row>
    <row r="44" spans="1:5" x14ac:dyDescent="0.2">
      <c r="A44" t="s">
        <v>935</v>
      </c>
      <c r="B44">
        <v>43</v>
      </c>
      <c r="C44">
        <v>20</v>
      </c>
      <c r="D44" s="91">
        <f t="shared" si="1"/>
        <v>3.0092592592592594E-2</v>
      </c>
    </row>
    <row r="45" spans="1:5" x14ac:dyDescent="0.2">
      <c r="A45" t="s">
        <v>936</v>
      </c>
      <c r="B45">
        <v>47</v>
      </c>
      <c r="C45">
        <v>40</v>
      </c>
      <c r="D45" s="91">
        <f t="shared" si="1"/>
        <v>3.3101851851851855E-2</v>
      </c>
    </row>
    <row r="46" spans="1:5" x14ac:dyDescent="0.2">
      <c r="A46" t="s">
        <v>937</v>
      </c>
      <c r="B46">
        <v>50</v>
      </c>
      <c r="C46">
        <v>8</v>
      </c>
      <c r="D46" s="91">
        <f t="shared" si="1"/>
        <v>3.4814814814814819E-2</v>
      </c>
    </row>
    <row r="47" spans="1:5" x14ac:dyDescent="0.2">
      <c r="A47" t="s">
        <v>938</v>
      </c>
      <c r="B47">
        <v>9</v>
      </c>
      <c r="C47">
        <v>39</v>
      </c>
      <c r="D47" s="91">
        <f t="shared" si="1"/>
        <v>6.7013888888888895E-3</v>
      </c>
    </row>
    <row r="48" spans="1:5" x14ac:dyDescent="0.2">
      <c r="A48" t="s">
        <v>939</v>
      </c>
      <c r="B48">
        <v>16</v>
      </c>
      <c r="C48">
        <v>48</v>
      </c>
      <c r="D48" s="91">
        <f t="shared" si="1"/>
        <v>1.1666666666666667E-2</v>
      </c>
    </row>
    <row r="49" spans="1:4" x14ac:dyDescent="0.2">
      <c r="A49" t="s">
        <v>940</v>
      </c>
      <c r="B49">
        <v>38</v>
      </c>
      <c r="C49">
        <v>29</v>
      </c>
      <c r="D49" s="91">
        <f t="shared" si="1"/>
        <v>2.6724537037037036E-2</v>
      </c>
    </row>
    <row r="50" spans="1:4" x14ac:dyDescent="0.2">
      <c r="A50" t="s">
        <v>941</v>
      </c>
      <c r="B50">
        <v>8</v>
      </c>
      <c r="C50">
        <v>45</v>
      </c>
      <c r="D50" s="91">
        <f t="shared" si="1"/>
        <v>6.076388888888889E-3</v>
      </c>
    </row>
    <row r="51" spans="1:4" x14ac:dyDescent="0.2">
      <c r="A51" t="s">
        <v>942</v>
      </c>
      <c r="B51">
        <v>43</v>
      </c>
      <c r="C51">
        <v>0</v>
      </c>
      <c r="D51" s="91">
        <f t="shared" si="1"/>
        <v>2.9861111111111113E-2</v>
      </c>
    </row>
    <row r="52" spans="1:4" x14ac:dyDescent="0.2">
      <c r="A52" t="s">
        <v>943</v>
      </c>
      <c r="B52">
        <v>31</v>
      </c>
      <c r="C52">
        <v>22</v>
      </c>
      <c r="D52" s="91">
        <f t="shared" si="1"/>
        <v>2.1782407407407407E-2</v>
      </c>
    </row>
    <row r="53" spans="1:4" x14ac:dyDescent="0.2">
      <c r="A53" t="s">
        <v>944</v>
      </c>
      <c r="B53">
        <v>35</v>
      </c>
      <c r="C53">
        <v>7</v>
      </c>
      <c r="D53" s="91">
        <f t="shared" si="1"/>
        <v>2.4386574074074074E-2</v>
      </c>
    </row>
    <row r="54" spans="1:4" x14ac:dyDescent="0.2">
      <c r="A54" t="s">
        <v>945</v>
      </c>
      <c r="B54">
        <v>58</v>
      </c>
      <c r="C54">
        <v>10</v>
      </c>
      <c r="D54" s="91">
        <f t="shared" si="1"/>
        <v>4.0393518518518523E-2</v>
      </c>
    </row>
    <row r="55" spans="1:4" x14ac:dyDescent="0.2">
      <c r="A55" t="s">
        <v>946</v>
      </c>
      <c r="B55">
        <v>15</v>
      </c>
      <c r="C55">
        <v>49</v>
      </c>
      <c r="D55" s="91">
        <f t="shared" si="1"/>
        <v>1.0983796296296295E-2</v>
      </c>
    </row>
    <row r="56" spans="1:4" x14ac:dyDescent="0.2">
      <c r="A56" t="s">
        <v>947</v>
      </c>
      <c r="B56">
        <v>61</v>
      </c>
      <c r="C56">
        <v>58</v>
      </c>
      <c r="D56" s="91">
        <f t="shared" si="1"/>
        <v>4.3032407407407408E-2</v>
      </c>
    </row>
    <row r="57" spans="1:4" x14ac:dyDescent="0.2">
      <c r="A57" t="s">
        <v>948</v>
      </c>
      <c r="B57">
        <v>24</v>
      </c>
      <c r="C57">
        <v>8</v>
      </c>
      <c r="D57" s="91">
        <f t="shared" si="1"/>
        <v>1.6759259259259258E-2</v>
      </c>
    </row>
    <row r="58" spans="1:4" x14ac:dyDescent="0.2">
      <c r="A58" t="s">
        <v>949</v>
      </c>
      <c r="B58">
        <v>27</v>
      </c>
      <c r="C58">
        <v>34</v>
      </c>
      <c r="D58" s="91">
        <f t="shared" si="1"/>
        <v>1.9143518518518518E-2</v>
      </c>
    </row>
    <row r="59" spans="1:4" x14ac:dyDescent="0.2">
      <c r="A59" t="s">
        <v>950</v>
      </c>
      <c r="B59">
        <v>13</v>
      </c>
      <c r="C59">
        <v>58</v>
      </c>
      <c r="D59" s="91">
        <f t="shared" si="1"/>
        <v>9.6990740740740735E-3</v>
      </c>
    </row>
    <row r="60" spans="1:4" x14ac:dyDescent="0.2">
      <c r="A60" t="s">
        <v>951</v>
      </c>
      <c r="B60">
        <v>22</v>
      </c>
      <c r="C60">
        <v>17</v>
      </c>
      <c r="D60" s="91">
        <f t="shared" si="1"/>
        <v>1.5474537037037037E-2</v>
      </c>
    </row>
    <row r="61" spans="1:4" x14ac:dyDescent="0.2">
      <c r="A61" t="s">
        <v>952</v>
      </c>
      <c r="B61">
        <v>20</v>
      </c>
      <c r="C61">
        <v>28</v>
      </c>
      <c r="D61" s="91">
        <f t="shared" si="1"/>
        <v>1.4212962962962962E-2</v>
      </c>
    </row>
    <row r="62" spans="1:4" x14ac:dyDescent="0.2">
      <c r="A62" t="s">
        <v>953</v>
      </c>
      <c r="B62">
        <v>20</v>
      </c>
      <c r="C62">
        <v>11</v>
      </c>
      <c r="D62" s="91">
        <f t="shared" si="1"/>
        <v>1.4016203703703703E-2</v>
      </c>
    </row>
    <row r="63" spans="1:4" x14ac:dyDescent="0.2">
      <c r="A63" t="s">
        <v>954</v>
      </c>
      <c r="B63">
        <v>34</v>
      </c>
      <c r="C63">
        <v>31</v>
      </c>
      <c r="D63" s="91">
        <f t="shared" si="1"/>
        <v>2.3969907407407405E-2</v>
      </c>
    </row>
    <row r="64" spans="1:4" x14ac:dyDescent="0.2">
      <c r="A64" t="s">
        <v>955</v>
      </c>
      <c r="B64">
        <v>47</v>
      </c>
      <c r="C64">
        <v>38</v>
      </c>
      <c r="D64" s="91">
        <f t="shared" si="1"/>
        <v>3.3078703703703707E-2</v>
      </c>
    </row>
    <row r="65" spans="1:5" x14ac:dyDescent="0.2">
      <c r="A65" t="s">
        <v>956</v>
      </c>
      <c r="B65">
        <v>34</v>
      </c>
      <c r="C65">
        <v>35</v>
      </c>
      <c r="D65" s="91">
        <f t="shared" si="1"/>
        <v>2.4016203703703703E-2</v>
      </c>
      <c r="E65" s="92">
        <f>SUM(D40:D65)</f>
        <v>0.55626157407407417</v>
      </c>
    </row>
    <row r="66" spans="1:5" x14ac:dyDescent="0.2">
      <c r="A66" s="25" t="s">
        <v>957</v>
      </c>
      <c r="D66" s="91"/>
    </row>
    <row r="67" spans="1:5" x14ac:dyDescent="0.2">
      <c r="A67" t="s">
        <v>958</v>
      </c>
      <c r="B67">
        <v>42</v>
      </c>
      <c r="C67">
        <v>39</v>
      </c>
      <c r="D67" s="91">
        <f t="shared" ref="D67:D73" si="2">IF(ISBLANK(C67),"",B67/1440+C67/86400)</f>
        <v>2.9618055555555557E-2</v>
      </c>
    </row>
    <row r="68" spans="1:5" x14ac:dyDescent="0.2">
      <c r="A68" t="s">
        <v>959</v>
      </c>
      <c r="B68">
        <v>21</v>
      </c>
      <c r="C68">
        <v>35</v>
      </c>
      <c r="D68" s="91">
        <f t="shared" si="2"/>
        <v>1.4988425925925926E-2</v>
      </c>
    </row>
    <row r="69" spans="1:5" x14ac:dyDescent="0.2">
      <c r="A69" t="s">
        <v>960</v>
      </c>
      <c r="B69">
        <v>46</v>
      </c>
      <c r="C69">
        <v>4</v>
      </c>
      <c r="D69" s="91">
        <f t="shared" si="2"/>
        <v>3.1990740740740736E-2</v>
      </c>
    </row>
    <row r="70" spans="1:5" x14ac:dyDescent="0.2">
      <c r="A70" t="s">
        <v>961</v>
      </c>
      <c r="B70">
        <v>34</v>
      </c>
      <c r="C70">
        <v>46</v>
      </c>
      <c r="D70" s="91">
        <f t="shared" si="2"/>
        <v>2.4143518518518519E-2</v>
      </c>
    </row>
    <row r="71" spans="1:5" x14ac:dyDescent="0.2">
      <c r="A71" t="s">
        <v>962</v>
      </c>
      <c r="B71">
        <v>31</v>
      </c>
      <c r="C71">
        <v>8</v>
      </c>
      <c r="D71" s="91">
        <f t="shared" si="2"/>
        <v>2.162037037037037E-2</v>
      </c>
    </row>
    <row r="72" spans="1:5" x14ac:dyDescent="0.2">
      <c r="A72" t="s">
        <v>963</v>
      </c>
      <c r="B72">
        <v>14</v>
      </c>
      <c r="C72">
        <v>41</v>
      </c>
      <c r="D72" s="91">
        <f t="shared" si="2"/>
        <v>1.019675925925926E-2</v>
      </c>
    </row>
    <row r="73" spans="1:5" x14ac:dyDescent="0.2">
      <c r="A73" t="s">
        <v>964</v>
      </c>
      <c r="B73">
        <v>50</v>
      </c>
      <c r="C73">
        <v>57</v>
      </c>
      <c r="D73" s="91">
        <f t="shared" si="2"/>
        <v>3.5381944444444445E-2</v>
      </c>
      <c r="E73" s="92">
        <f>SUM(D67:D73)</f>
        <v>0.16793981481481482</v>
      </c>
    </row>
    <row r="74" spans="1:5" x14ac:dyDescent="0.2">
      <c r="A74" s="9" t="str">
        <f>"总时长："&amp;TEXT(SUM(B:B)/1440+SUM(C:C)/86400,"[h]:mm:ss")</f>
        <v>总时长：36:53:31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8647-BBF6-4C2C-B188-33145A4D65D9}">
  <dimension ref="A1:F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3" sqref="A23"/>
    </sheetView>
  </sheetViews>
  <sheetFormatPr defaultRowHeight="14.25" x14ac:dyDescent="0.2"/>
  <cols>
    <col min="1" max="1" width="47.75" bestFit="1" customWidth="1"/>
  </cols>
  <sheetData>
    <row r="1" spans="1:6" ht="19.5" x14ac:dyDescent="0.2">
      <c r="A1" s="13" t="s">
        <v>35</v>
      </c>
      <c r="B1" s="14" t="s">
        <v>36</v>
      </c>
      <c r="C1" s="14" t="s">
        <v>37</v>
      </c>
      <c r="D1" s="15" t="s">
        <v>53</v>
      </c>
      <c r="F1" s="31" t="s">
        <v>866</v>
      </c>
    </row>
    <row r="2" spans="1:6" x14ac:dyDescent="0.2">
      <c r="A2" t="s">
        <v>867</v>
      </c>
      <c r="B2">
        <v>31</v>
      </c>
      <c r="C2">
        <v>14</v>
      </c>
    </row>
    <row r="3" spans="1:6" x14ac:dyDescent="0.2">
      <c r="A3" t="s">
        <v>868</v>
      </c>
      <c r="B3">
        <v>17</v>
      </c>
      <c r="C3">
        <v>36</v>
      </c>
    </row>
    <row r="4" spans="1:6" x14ac:dyDescent="0.2">
      <c r="A4" t="s">
        <v>869</v>
      </c>
      <c r="B4">
        <v>38</v>
      </c>
      <c r="C4">
        <v>22</v>
      </c>
    </row>
    <row r="5" spans="1:6" x14ac:dyDescent="0.2">
      <c r="A5" t="s">
        <v>870</v>
      </c>
      <c r="B5">
        <v>48</v>
      </c>
      <c r="C5">
        <v>19</v>
      </c>
    </row>
    <row r="6" spans="1:6" x14ac:dyDescent="0.2">
      <c r="A6" t="s">
        <v>871</v>
      </c>
      <c r="B6">
        <v>52</v>
      </c>
      <c r="C6">
        <v>44</v>
      </c>
    </row>
    <row r="7" spans="1:6" ht="15.75" x14ac:dyDescent="0.2">
      <c r="A7" s="36" t="s">
        <v>872</v>
      </c>
      <c r="B7">
        <v>55</v>
      </c>
      <c r="C7">
        <v>24</v>
      </c>
    </row>
    <row r="8" spans="1:6" ht="15.75" x14ac:dyDescent="0.2">
      <c r="A8" s="36" t="s">
        <v>873</v>
      </c>
      <c r="B8">
        <v>37</v>
      </c>
      <c r="C8">
        <v>55</v>
      </c>
    </row>
    <row r="9" spans="1:6" ht="15.75" x14ac:dyDescent="0.2">
      <c r="A9" s="36" t="s">
        <v>874</v>
      </c>
      <c r="B9">
        <v>62</v>
      </c>
      <c r="C9">
        <v>24</v>
      </c>
    </row>
    <row r="10" spans="1:6" x14ac:dyDescent="0.2">
      <c r="A10" t="s">
        <v>875</v>
      </c>
      <c r="B10">
        <v>75</v>
      </c>
      <c r="C10">
        <v>53</v>
      </c>
    </row>
    <row r="11" spans="1:6" x14ac:dyDescent="0.2">
      <c r="A11" t="s">
        <v>876</v>
      </c>
      <c r="B11">
        <v>33</v>
      </c>
      <c r="C11">
        <v>36</v>
      </c>
    </row>
    <row r="12" spans="1:6" x14ac:dyDescent="0.2">
      <c r="A12" t="s">
        <v>877</v>
      </c>
      <c r="B12">
        <v>56</v>
      </c>
      <c r="C12">
        <v>38</v>
      </c>
    </row>
    <row r="13" spans="1:6" x14ac:dyDescent="0.2">
      <c r="A13" t="s">
        <v>878</v>
      </c>
      <c r="B13">
        <v>26</v>
      </c>
      <c r="C13">
        <v>0</v>
      </c>
    </row>
    <row r="14" spans="1:6" x14ac:dyDescent="0.2">
      <c r="A14" t="s">
        <v>879</v>
      </c>
      <c r="B14">
        <v>40</v>
      </c>
      <c r="C14">
        <v>30</v>
      </c>
    </row>
    <row r="15" spans="1:6" x14ac:dyDescent="0.2">
      <c r="A15" t="s">
        <v>880</v>
      </c>
      <c r="B15">
        <v>42</v>
      </c>
      <c r="C15">
        <v>44</v>
      </c>
    </row>
    <row r="16" spans="1:6" x14ac:dyDescent="0.2">
      <c r="A16" t="s">
        <v>881</v>
      </c>
      <c r="B16">
        <v>18</v>
      </c>
      <c r="C16">
        <v>9</v>
      </c>
    </row>
    <row r="17" spans="1:3" x14ac:dyDescent="0.2">
      <c r="A17" t="s">
        <v>882</v>
      </c>
      <c r="B17">
        <v>20</v>
      </c>
      <c r="C17">
        <v>57</v>
      </c>
    </row>
    <row r="18" spans="1:3" x14ac:dyDescent="0.2">
      <c r="A18" t="s">
        <v>883</v>
      </c>
      <c r="B18">
        <v>47</v>
      </c>
      <c r="C18">
        <v>16</v>
      </c>
    </row>
    <row r="19" spans="1:3" x14ac:dyDescent="0.2">
      <c r="A19" t="s">
        <v>884</v>
      </c>
      <c r="B19">
        <v>56</v>
      </c>
      <c r="C19">
        <v>11</v>
      </c>
    </row>
    <row r="20" spans="1:3" x14ac:dyDescent="0.2">
      <c r="A20" t="s">
        <v>885</v>
      </c>
      <c r="B20">
        <v>35</v>
      </c>
      <c r="C20">
        <v>58</v>
      </c>
    </row>
    <row r="21" spans="1:3" x14ac:dyDescent="0.2">
      <c r="A21" t="s">
        <v>886</v>
      </c>
      <c r="B21">
        <v>56</v>
      </c>
      <c r="C21">
        <v>9</v>
      </c>
    </row>
    <row r="22" spans="1:3" x14ac:dyDescent="0.2">
      <c r="A22" t="s">
        <v>887</v>
      </c>
      <c r="B22">
        <v>65</v>
      </c>
      <c r="C22">
        <v>43</v>
      </c>
    </row>
    <row r="23" spans="1:3" x14ac:dyDescent="0.2">
      <c r="A23" t="s">
        <v>888</v>
      </c>
      <c r="B23">
        <v>25</v>
      </c>
      <c r="C23">
        <v>53</v>
      </c>
    </row>
    <row r="24" spans="1:3" x14ac:dyDescent="0.2">
      <c r="A24" s="11" t="str">
        <f>"总时长："&amp;TEXT(SUM(B:B)/1440+SUM(C:C)/86400,"[h]:mm:ss")</f>
        <v>总时长：15:45:35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794E-744F-4D5E-88D3-DF76CD9771EA}">
  <sheetPr codeName="Sheet19"/>
  <dimension ref="A1:F5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51" sqref="A51"/>
    </sheetView>
  </sheetViews>
  <sheetFormatPr defaultRowHeight="14.25" x14ac:dyDescent="0.2"/>
  <cols>
    <col min="1" max="1" width="36.25" bestFit="1" customWidth="1"/>
  </cols>
  <sheetData>
    <row r="1" spans="1:6" ht="19.5" x14ac:dyDescent="0.2">
      <c r="A1" s="13" t="s">
        <v>35</v>
      </c>
      <c r="B1" s="14" t="s">
        <v>36</v>
      </c>
      <c r="C1" s="14" t="s">
        <v>37</v>
      </c>
      <c r="D1" s="15" t="s">
        <v>53</v>
      </c>
      <c r="F1" s="31" t="s">
        <v>890</v>
      </c>
    </row>
    <row r="2" spans="1:6" x14ac:dyDescent="0.2">
      <c r="A2" s="30" t="s">
        <v>338</v>
      </c>
    </row>
    <row r="3" spans="1:6" x14ac:dyDescent="0.2">
      <c r="A3" t="s">
        <v>339</v>
      </c>
      <c r="B3">
        <v>34</v>
      </c>
      <c r="C3">
        <v>19</v>
      </c>
    </row>
    <row r="4" spans="1:6" x14ac:dyDescent="0.2">
      <c r="A4" t="s">
        <v>340</v>
      </c>
      <c r="B4">
        <v>44</v>
      </c>
      <c r="C4">
        <v>42</v>
      </c>
    </row>
    <row r="5" spans="1:6" x14ac:dyDescent="0.2">
      <c r="A5" t="s">
        <v>341</v>
      </c>
      <c r="B5">
        <v>27</v>
      </c>
      <c r="C5">
        <v>36</v>
      </c>
    </row>
    <row r="6" spans="1:6" x14ac:dyDescent="0.2">
      <c r="A6" t="s">
        <v>342</v>
      </c>
      <c r="B6">
        <v>46</v>
      </c>
      <c r="C6">
        <v>22</v>
      </c>
    </row>
    <row r="7" spans="1:6" x14ac:dyDescent="0.2">
      <c r="A7" t="s">
        <v>343</v>
      </c>
      <c r="B7">
        <v>61</v>
      </c>
      <c r="C7">
        <v>22</v>
      </c>
    </row>
    <row r="8" spans="1:6" x14ac:dyDescent="0.2">
      <c r="A8" t="s">
        <v>344</v>
      </c>
      <c r="B8">
        <v>47</v>
      </c>
      <c r="C8">
        <v>54</v>
      </c>
    </row>
    <row r="9" spans="1:6" x14ac:dyDescent="0.2">
      <c r="A9" t="s">
        <v>345</v>
      </c>
      <c r="B9">
        <v>55</v>
      </c>
      <c r="C9">
        <v>52</v>
      </c>
    </row>
    <row r="10" spans="1:6" x14ac:dyDescent="0.2">
      <c r="A10" t="s">
        <v>346</v>
      </c>
      <c r="B10">
        <v>35</v>
      </c>
      <c r="C10">
        <v>12</v>
      </c>
    </row>
    <row r="11" spans="1:6" x14ac:dyDescent="0.2">
      <c r="A11" t="s">
        <v>347</v>
      </c>
      <c r="B11">
        <v>24</v>
      </c>
      <c r="C11">
        <v>30</v>
      </c>
    </row>
    <row r="12" spans="1:6" x14ac:dyDescent="0.2">
      <c r="A12" t="s">
        <v>348</v>
      </c>
      <c r="B12">
        <v>45</v>
      </c>
      <c r="C12">
        <v>44</v>
      </c>
    </row>
    <row r="13" spans="1:6" x14ac:dyDescent="0.2">
      <c r="A13" t="s">
        <v>349</v>
      </c>
      <c r="B13">
        <v>59</v>
      </c>
      <c r="C13">
        <v>27</v>
      </c>
    </row>
    <row r="14" spans="1:6" x14ac:dyDescent="0.2">
      <c r="A14" t="s">
        <v>350</v>
      </c>
      <c r="B14">
        <v>9</v>
      </c>
      <c r="C14">
        <v>49</v>
      </c>
    </row>
    <row r="15" spans="1:6" x14ac:dyDescent="0.2">
      <c r="A15" s="30" t="s">
        <v>351</v>
      </c>
    </row>
    <row r="16" spans="1:6" x14ac:dyDescent="0.2">
      <c r="A16" t="s">
        <v>352</v>
      </c>
      <c r="B16">
        <v>59</v>
      </c>
      <c r="C16">
        <v>33</v>
      </c>
    </row>
    <row r="17" spans="1:3" x14ac:dyDescent="0.2">
      <c r="A17" t="s">
        <v>353</v>
      </c>
      <c r="B17">
        <v>50</v>
      </c>
      <c r="C17">
        <v>51</v>
      </c>
    </row>
    <row r="18" spans="1:3" x14ac:dyDescent="0.2">
      <c r="A18" t="s">
        <v>354</v>
      </c>
      <c r="B18">
        <v>18</v>
      </c>
      <c r="C18">
        <v>38</v>
      </c>
    </row>
    <row r="19" spans="1:3" x14ac:dyDescent="0.2">
      <c r="A19" t="s">
        <v>355</v>
      </c>
      <c r="B19">
        <v>52</v>
      </c>
      <c r="C19">
        <v>19</v>
      </c>
    </row>
    <row r="20" spans="1:3" x14ac:dyDescent="0.2">
      <c r="A20" t="s">
        <v>356</v>
      </c>
      <c r="B20">
        <v>18</v>
      </c>
      <c r="C20">
        <v>29</v>
      </c>
    </row>
    <row r="21" spans="1:3" x14ac:dyDescent="0.2">
      <c r="A21" t="s">
        <v>357</v>
      </c>
      <c r="B21">
        <v>49</v>
      </c>
      <c r="C21">
        <v>24</v>
      </c>
    </row>
    <row r="22" spans="1:3" x14ac:dyDescent="0.2">
      <c r="A22" t="s">
        <v>358</v>
      </c>
      <c r="B22">
        <v>55</v>
      </c>
      <c r="C22">
        <v>50</v>
      </c>
    </row>
    <row r="23" spans="1:3" x14ac:dyDescent="0.2">
      <c r="A23" t="s">
        <v>359</v>
      </c>
      <c r="B23">
        <v>69</v>
      </c>
      <c r="C23">
        <v>52</v>
      </c>
    </row>
    <row r="24" spans="1:3" x14ac:dyDescent="0.2">
      <c r="A24" t="s">
        <v>360</v>
      </c>
      <c r="B24">
        <v>64</v>
      </c>
      <c r="C24">
        <v>41</v>
      </c>
    </row>
    <row r="25" spans="1:3" x14ac:dyDescent="0.2">
      <c r="A25" t="s">
        <v>361</v>
      </c>
      <c r="B25">
        <v>17</v>
      </c>
      <c r="C25">
        <v>31</v>
      </c>
    </row>
    <row r="26" spans="1:3" x14ac:dyDescent="0.2">
      <c r="A26" s="30" t="s">
        <v>362</v>
      </c>
    </row>
    <row r="27" spans="1:3" x14ac:dyDescent="0.2">
      <c r="A27" t="s">
        <v>363</v>
      </c>
      <c r="B27">
        <v>26</v>
      </c>
      <c r="C27">
        <v>56</v>
      </c>
    </row>
    <row r="28" spans="1:3" x14ac:dyDescent="0.2">
      <c r="A28" t="s">
        <v>364</v>
      </c>
      <c r="B28">
        <v>30</v>
      </c>
      <c r="C28">
        <v>24</v>
      </c>
    </row>
    <row r="29" spans="1:3" x14ac:dyDescent="0.2">
      <c r="A29" t="s">
        <v>365</v>
      </c>
      <c r="B29">
        <v>41</v>
      </c>
      <c r="C29">
        <v>8</v>
      </c>
    </row>
    <row r="30" spans="1:3" x14ac:dyDescent="0.2">
      <c r="A30" t="s">
        <v>366</v>
      </c>
      <c r="B30">
        <v>36</v>
      </c>
      <c r="C30">
        <v>49</v>
      </c>
    </row>
    <row r="31" spans="1:3" x14ac:dyDescent="0.2">
      <c r="A31" t="s">
        <v>367</v>
      </c>
      <c r="B31">
        <v>65</v>
      </c>
      <c r="C31">
        <v>5</v>
      </c>
    </row>
    <row r="32" spans="1:3" x14ac:dyDescent="0.2">
      <c r="A32" s="30" t="s">
        <v>368</v>
      </c>
    </row>
    <row r="33" spans="1:3" x14ac:dyDescent="0.2">
      <c r="A33" t="s">
        <v>369</v>
      </c>
      <c r="B33">
        <v>25</v>
      </c>
      <c r="C33">
        <v>7</v>
      </c>
    </row>
    <row r="34" spans="1:3" x14ac:dyDescent="0.2">
      <c r="A34" t="s">
        <v>370</v>
      </c>
      <c r="B34">
        <v>41</v>
      </c>
      <c r="C34">
        <v>4</v>
      </c>
    </row>
    <row r="35" spans="1:3" x14ac:dyDescent="0.2">
      <c r="A35" t="s">
        <v>371</v>
      </c>
      <c r="B35">
        <v>11</v>
      </c>
      <c r="C35">
        <v>52</v>
      </c>
    </row>
    <row r="36" spans="1:3" x14ac:dyDescent="0.2">
      <c r="A36" s="30" t="s">
        <v>372</v>
      </c>
    </row>
    <row r="37" spans="1:3" x14ac:dyDescent="0.2">
      <c r="A37" t="s">
        <v>373</v>
      </c>
      <c r="B37">
        <v>47</v>
      </c>
      <c r="C37">
        <v>42</v>
      </c>
    </row>
    <row r="38" spans="1:3" x14ac:dyDescent="0.2">
      <c r="A38" t="s">
        <v>374</v>
      </c>
      <c r="B38">
        <v>34</v>
      </c>
      <c r="C38">
        <v>12</v>
      </c>
    </row>
    <row r="39" spans="1:3" x14ac:dyDescent="0.2">
      <c r="A39" t="s">
        <v>375</v>
      </c>
      <c r="B39">
        <v>10</v>
      </c>
      <c r="C39">
        <v>41</v>
      </c>
    </row>
    <row r="40" spans="1:3" x14ac:dyDescent="0.2">
      <c r="A40" t="s">
        <v>376</v>
      </c>
      <c r="B40">
        <v>46</v>
      </c>
      <c r="C40">
        <v>0</v>
      </c>
    </row>
    <row r="41" spans="1:3" x14ac:dyDescent="0.2">
      <c r="A41" t="s">
        <v>377</v>
      </c>
      <c r="B41">
        <v>25</v>
      </c>
      <c r="C41">
        <v>35</v>
      </c>
    </row>
    <row r="42" spans="1:3" x14ac:dyDescent="0.2">
      <c r="A42" t="s">
        <v>378</v>
      </c>
      <c r="B42">
        <v>9</v>
      </c>
      <c r="C42">
        <v>42</v>
      </c>
    </row>
    <row r="43" spans="1:3" x14ac:dyDescent="0.2">
      <c r="A43" t="s">
        <v>379</v>
      </c>
      <c r="B43">
        <v>49</v>
      </c>
      <c r="C43">
        <v>16</v>
      </c>
    </row>
    <row r="44" spans="1:3" x14ac:dyDescent="0.2">
      <c r="A44" t="s">
        <v>380</v>
      </c>
      <c r="B44">
        <v>21</v>
      </c>
      <c r="C44">
        <v>18</v>
      </c>
    </row>
    <row r="45" spans="1:3" x14ac:dyDescent="0.2">
      <c r="A45" t="s">
        <v>381</v>
      </c>
      <c r="B45">
        <v>9</v>
      </c>
      <c r="C45">
        <v>4</v>
      </c>
    </row>
    <row r="46" spans="1:3" x14ac:dyDescent="0.2">
      <c r="A46" t="s">
        <v>382</v>
      </c>
      <c r="B46">
        <v>10</v>
      </c>
      <c r="C46">
        <v>3</v>
      </c>
    </row>
    <row r="47" spans="1:3" x14ac:dyDescent="0.2">
      <c r="A47" t="s">
        <v>383</v>
      </c>
      <c r="B47">
        <v>25</v>
      </c>
      <c r="C47">
        <v>22</v>
      </c>
    </row>
    <row r="48" spans="1:3" x14ac:dyDescent="0.2">
      <c r="A48" t="s">
        <v>384</v>
      </c>
      <c r="B48">
        <v>48</v>
      </c>
      <c r="C48">
        <v>10</v>
      </c>
    </row>
    <row r="49" spans="1:3" x14ac:dyDescent="0.2">
      <c r="A49" t="s">
        <v>385</v>
      </c>
      <c r="B49">
        <v>23</v>
      </c>
      <c r="C49">
        <v>47</v>
      </c>
    </row>
    <row r="50" spans="1:3" x14ac:dyDescent="0.2">
      <c r="A50" t="s">
        <v>386</v>
      </c>
      <c r="B50">
        <v>25</v>
      </c>
      <c r="C50">
        <v>6</v>
      </c>
    </row>
    <row r="51" spans="1:3" x14ac:dyDescent="0.2">
      <c r="A51" s="9" t="str">
        <f>"总时长："&amp;TEXT(SUM(B:B)/1440+SUM(C:C)/86400,"[h]:mm:ss")</f>
        <v>总时长：26:54:20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C293-C959-467B-AFE8-502F1522096D}">
  <dimension ref="A1:F105"/>
  <sheetViews>
    <sheetView workbookViewId="0">
      <pane xSplit="4" ySplit="1" topLeftCell="E92" activePane="bottomRight" state="frozen"/>
      <selection pane="topRight" activeCell="E1" sqref="E1"/>
      <selection pane="bottomLeft" activeCell="A2" sqref="A2"/>
      <selection pane="bottomRight" activeCell="C105" sqref="C105"/>
    </sheetView>
  </sheetViews>
  <sheetFormatPr defaultRowHeight="14.25" x14ac:dyDescent="0.2"/>
  <cols>
    <col min="1" max="1" width="36.25" bestFit="1" customWidth="1"/>
  </cols>
  <sheetData>
    <row r="1" spans="1:6" ht="19.5" x14ac:dyDescent="0.2">
      <c r="A1" s="13" t="s">
        <v>35</v>
      </c>
      <c r="B1" s="14" t="s">
        <v>36</v>
      </c>
      <c r="C1" s="14" t="s">
        <v>37</v>
      </c>
      <c r="D1" s="15" t="s">
        <v>53</v>
      </c>
      <c r="F1" s="31" t="s">
        <v>1121</v>
      </c>
    </row>
    <row r="2" spans="1:6" x14ac:dyDescent="0.2">
      <c r="A2" s="25" t="s">
        <v>966</v>
      </c>
    </row>
    <row r="3" spans="1:6" x14ac:dyDescent="0.2">
      <c r="A3" t="s">
        <v>1068</v>
      </c>
      <c r="B3">
        <v>22</v>
      </c>
      <c r="C3">
        <v>44</v>
      </c>
    </row>
    <row r="4" spans="1:6" x14ac:dyDescent="0.2">
      <c r="A4" s="25" t="s">
        <v>967</v>
      </c>
    </row>
    <row r="5" spans="1:6" x14ac:dyDescent="0.2">
      <c r="A5" t="s">
        <v>968</v>
      </c>
      <c r="B5">
        <v>32</v>
      </c>
      <c r="C5">
        <v>24</v>
      </c>
    </row>
    <row r="6" spans="1:6" x14ac:dyDescent="0.2">
      <c r="A6" t="s">
        <v>969</v>
      </c>
      <c r="B6">
        <v>28</v>
      </c>
      <c r="C6">
        <v>46</v>
      </c>
    </row>
    <row r="7" spans="1:6" x14ac:dyDescent="0.2">
      <c r="A7" t="s">
        <v>970</v>
      </c>
      <c r="B7">
        <v>25</v>
      </c>
      <c r="C7">
        <v>9</v>
      </c>
    </row>
    <row r="8" spans="1:6" x14ac:dyDescent="0.2">
      <c r="A8" t="s">
        <v>971</v>
      </c>
      <c r="B8">
        <v>25</v>
      </c>
      <c r="C8">
        <v>32</v>
      </c>
    </row>
    <row r="9" spans="1:6" x14ac:dyDescent="0.2">
      <c r="A9" t="s">
        <v>972</v>
      </c>
      <c r="B9">
        <v>36</v>
      </c>
      <c r="C9">
        <v>51</v>
      </c>
    </row>
    <row r="10" spans="1:6" x14ac:dyDescent="0.2">
      <c r="A10" t="s">
        <v>973</v>
      </c>
      <c r="B10">
        <v>22</v>
      </c>
      <c r="C10">
        <v>44</v>
      </c>
    </row>
    <row r="11" spans="1:6" x14ac:dyDescent="0.2">
      <c r="A11" t="s">
        <v>974</v>
      </c>
      <c r="B11">
        <v>35</v>
      </c>
      <c r="C11">
        <v>14</v>
      </c>
    </row>
    <row r="12" spans="1:6" x14ac:dyDescent="0.2">
      <c r="A12" t="s">
        <v>975</v>
      </c>
      <c r="B12">
        <v>30</v>
      </c>
      <c r="C12">
        <v>2</v>
      </c>
    </row>
    <row r="13" spans="1:6" x14ac:dyDescent="0.2">
      <c r="A13" t="s">
        <v>976</v>
      </c>
      <c r="B13">
        <v>22</v>
      </c>
      <c r="C13">
        <v>15</v>
      </c>
    </row>
    <row r="14" spans="1:6" x14ac:dyDescent="0.2">
      <c r="A14" t="s">
        <v>977</v>
      </c>
      <c r="B14">
        <v>33</v>
      </c>
      <c r="C14">
        <v>7</v>
      </c>
    </row>
    <row r="15" spans="1:6" x14ac:dyDescent="0.2">
      <c r="A15" t="s">
        <v>978</v>
      </c>
      <c r="B15">
        <v>18</v>
      </c>
      <c r="C15">
        <v>44</v>
      </c>
    </row>
    <row r="16" spans="1:6" x14ac:dyDescent="0.2">
      <c r="A16" t="s">
        <v>979</v>
      </c>
      <c r="B16">
        <v>34</v>
      </c>
      <c r="C16">
        <v>29</v>
      </c>
    </row>
    <row r="17" spans="1:3" x14ac:dyDescent="0.2">
      <c r="A17" t="s">
        <v>980</v>
      </c>
      <c r="B17">
        <v>21</v>
      </c>
      <c r="C17">
        <v>53</v>
      </c>
    </row>
    <row r="18" spans="1:3" x14ac:dyDescent="0.2">
      <c r="A18" s="25" t="s">
        <v>981</v>
      </c>
    </row>
    <row r="19" spans="1:3" x14ac:dyDescent="0.2">
      <c r="A19" t="s">
        <v>982</v>
      </c>
      <c r="B19">
        <v>26</v>
      </c>
      <c r="C19">
        <v>1</v>
      </c>
    </row>
    <row r="20" spans="1:3" x14ac:dyDescent="0.2">
      <c r="A20" t="s">
        <v>983</v>
      </c>
      <c r="B20">
        <v>23</v>
      </c>
      <c r="C20">
        <v>34</v>
      </c>
    </row>
    <row r="21" spans="1:3" x14ac:dyDescent="0.2">
      <c r="A21" t="s">
        <v>984</v>
      </c>
      <c r="B21">
        <v>3</v>
      </c>
      <c r="C21">
        <v>21</v>
      </c>
    </row>
    <row r="22" spans="1:3" x14ac:dyDescent="0.2">
      <c r="A22" t="s">
        <v>985</v>
      </c>
      <c r="B22">
        <v>7</v>
      </c>
      <c r="C22">
        <v>35</v>
      </c>
    </row>
    <row r="23" spans="1:3" x14ac:dyDescent="0.2">
      <c r="A23" t="s">
        <v>986</v>
      </c>
      <c r="B23">
        <v>12</v>
      </c>
      <c r="C23">
        <v>19</v>
      </c>
    </row>
    <row r="24" spans="1:3" x14ac:dyDescent="0.2">
      <c r="A24" t="s">
        <v>987</v>
      </c>
      <c r="B24">
        <v>6</v>
      </c>
      <c r="C24">
        <v>4</v>
      </c>
    </row>
    <row r="25" spans="1:3" x14ac:dyDescent="0.2">
      <c r="A25" t="s">
        <v>988</v>
      </c>
      <c r="B25">
        <v>14</v>
      </c>
      <c r="C25">
        <v>17</v>
      </c>
    </row>
    <row r="26" spans="1:3" x14ac:dyDescent="0.2">
      <c r="A26" t="s">
        <v>989</v>
      </c>
      <c r="B26">
        <v>10</v>
      </c>
      <c r="C26">
        <v>1</v>
      </c>
    </row>
    <row r="27" spans="1:3" x14ac:dyDescent="0.2">
      <c r="A27" t="s">
        <v>990</v>
      </c>
      <c r="B27">
        <v>12</v>
      </c>
      <c r="C27">
        <v>22</v>
      </c>
    </row>
    <row r="28" spans="1:3" x14ac:dyDescent="0.2">
      <c r="A28" t="s">
        <v>991</v>
      </c>
      <c r="B28">
        <v>19</v>
      </c>
      <c r="C28">
        <v>0</v>
      </c>
    </row>
    <row r="29" spans="1:3" x14ac:dyDescent="0.2">
      <c r="A29" t="s">
        <v>992</v>
      </c>
      <c r="B29">
        <v>13</v>
      </c>
      <c r="C29">
        <v>43</v>
      </c>
    </row>
    <row r="30" spans="1:3" x14ac:dyDescent="0.2">
      <c r="A30" t="s">
        <v>993</v>
      </c>
      <c r="B30">
        <v>13</v>
      </c>
      <c r="C30">
        <v>5</v>
      </c>
    </row>
    <row r="31" spans="1:3" x14ac:dyDescent="0.2">
      <c r="A31" t="s">
        <v>994</v>
      </c>
      <c r="B31">
        <v>18</v>
      </c>
      <c r="C31">
        <v>22</v>
      </c>
    </row>
    <row r="32" spans="1:3" x14ac:dyDescent="0.2">
      <c r="A32" t="s">
        <v>995</v>
      </c>
      <c r="B32">
        <v>16</v>
      </c>
      <c r="C32">
        <v>31</v>
      </c>
    </row>
    <row r="33" spans="1:3" x14ac:dyDescent="0.2">
      <c r="A33" t="s">
        <v>996</v>
      </c>
      <c r="B33">
        <v>11</v>
      </c>
      <c r="C33">
        <v>5</v>
      </c>
    </row>
    <row r="34" spans="1:3" x14ac:dyDescent="0.2">
      <c r="A34" t="s">
        <v>997</v>
      </c>
      <c r="B34">
        <v>10</v>
      </c>
      <c r="C34">
        <v>28</v>
      </c>
    </row>
    <row r="35" spans="1:3" x14ac:dyDescent="0.2">
      <c r="A35" t="s">
        <v>998</v>
      </c>
      <c r="B35">
        <v>13</v>
      </c>
      <c r="C35">
        <v>38</v>
      </c>
    </row>
    <row r="36" spans="1:3" x14ac:dyDescent="0.2">
      <c r="A36" t="s">
        <v>999</v>
      </c>
      <c r="B36">
        <v>10</v>
      </c>
      <c r="C36">
        <v>10</v>
      </c>
    </row>
    <row r="37" spans="1:3" x14ac:dyDescent="0.2">
      <c r="A37" t="s">
        <v>1000</v>
      </c>
      <c r="B37">
        <v>17</v>
      </c>
      <c r="C37">
        <v>21</v>
      </c>
    </row>
    <row r="38" spans="1:3" x14ac:dyDescent="0.2">
      <c r="A38" t="s">
        <v>1001</v>
      </c>
      <c r="B38">
        <v>26</v>
      </c>
      <c r="C38">
        <v>45</v>
      </c>
    </row>
    <row r="39" spans="1:3" x14ac:dyDescent="0.2">
      <c r="A39" t="s">
        <v>1002</v>
      </c>
      <c r="B39">
        <v>15</v>
      </c>
      <c r="C39">
        <v>30</v>
      </c>
    </row>
    <row r="40" spans="1:3" x14ac:dyDescent="0.2">
      <c r="A40" t="s">
        <v>1003</v>
      </c>
      <c r="B40">
        <v>45</v>
      </c>
      <c r="C40">
        <v>55</v>
      </c>
    </row>
    <row r="41" spans="1:3" x14ac:dyDescent="0.2">
      <c r="A41" t="s">
        <v>1004</v>
      </c>
      <c r="B41">
        <v>13</v>
      </c>
      <c r="C41">
        <v>2</v>
      </c>
    </row>
    <row r="42" spans="1:3" x14ac:dyDescent="0.2">
      <c r="A42" t="s">
        <v>1005</v>
      </c>
      <c r="B42">
        <v>38</v>
      </c>
      <c r="C42">
        <v>34</v>
      </c>
    </row>
    <row r="43" spans="1:3" x14ac:dyDescent="0.2">
      <c r="A43" s="25" t="s">
        <v>1006</v>
      </c>
    </row>
    <row r="44" spans="1:3" x14ac:dyDescent="0.2">
      <c r="A44" t="s">
        <v>1007</v>
      </c>
      <c r="B44">
        <v>22</v>
      </c>
      <c r="C44">
        <v>28</v>
      </c>
    </row>
    <row r="45" spans="1:3" x14ac:dyDescent="0.2">
      <c r="A45" t="s">
        <v>1008</v>
      </c>
      <c r="B45">
        <v>31</v>
      </c>
      <c r="C45">
        <v>14</v>
      </c>
    </row>
    <row r="46" spans="1:3" x14ac:dyDescent="0.2">
      <c r="A46" t="s">
        <v>1009</v>
      </c>
      <c r="B46">
        <v>22</v>
      </c>
      <c r="C46">
        <v>53</v>
      </c>
    </row>
    <row r="47" spans="1:3" x14ac:dyDescent="0.2">
      <c r="A47" t="s">
        <v>1010</v>
      </c>
      <c r="B47">
        <v>23</v>
      </c>
      <c r="C47">
        <v>42</v>
      </c>
    </row>
    <row r="48" spans="1:3" x14ac:dyDescent="0.2">
      <c r="A48" t="s">
        <v>1011</v>
      </c>
      <c r="B48">
        <v>33</v>
      </c>
      <c r="C48">
        <v>15</v>
      </c>
    </row>
    <row r="49" spans="1:3" x14ac:dyDescent="0.2">
      <c r="A49" t="s">
        <v>1012</v>
      </c>
      <c r="B49">
        <v>11</v>
      </c>
      <c r="C49">
        <v>49</v>
      </c>
    </row>
    <row r="50" spans="1:3" x14ac:dyDescent="0.2">
      <c r="A50" t="s">
        <v>1013</v>
      </c>
      <c r="B50">
        <v>7</v>
      </c>
      <c r="C50">
        <v>40</v>
      </c>
    </row>
    <row r="51" spans="1:3" x14ac:dyDescent="0.2">
      <c r="A51" t="s">
        <v>1014</v>
      </c>
      <c r="B51">
        <v>34</v>
      </c>
      <c r="C51">
        <v>20</v>
      </c>
    </row>
    <row r="52" spans="1:3" x14ac:dyDescent="0.2">
      <c r="A52" t="s">
        <v>1015</v>
      </c>
      <c r="B52">
        <v>24</v>
      </c>
      <c r="C52">
        <v>41</v>
      </c>
    </row>
    <row r="53" spans="1:3" x14ac:dyDescent="0.2">
      <c r="A53" t="s">
        <v>1016</v>
      </c>
      <c r="B53">
        <v>6</v>
      </c>
      <c r="C53">
        <v>12</v>
      </c>
    </row>
    <row r="54" spans="1:3" x14ac:dyDescent="0.2">
      <c r="A54" t="s">
        <v>1017</v>
      </c>
      <c r="B54">
        <v>23</v>
      </c>
      <c r="C54">
        <v>26</v>
      </c>
    </row>
    <row r="55" spans="1:3" x14ac:dyDescent="0.2">
      <c r="A55" s="25" t="s">
        <v>1018</v>
      </c>
    </row>
    <row r="56" spans="1:3" x14ac:dyDescent="0.2">
      <c r="A56" t="s">
        <v>1019</v>
      </c>
      <c r="B56">
        <v>19</v>
      </c>
      <c r="C56">
        <v>12</v>
      </c>
    </row>
    <row r="57" spans="1:3" x14ac:dyDescent="0.2">
      <c r="A57" t="s">
        <v>1020</v>
      </c>
      <c r="B57">
        <v>13</v>
      </c>
      <c r="C57">
        <v>49</v>
      </c>
    </row>
    <row r="58" spans="1:3" x14ac:dyDescent="0.2">
      <c r="A58" t="s">
        <v>1021</v>
      </c>
      <c r="B58">
        <v>22</v>
      </c>
      <c r="C58">
        <v>28</v>
      </c>
    </row>
    <row r="59" spans="1:3" x14ac:dyDescent="0.2">
      <c r="A59" t="s">
        <v>1022</v>
      </c>
      <c r="B59">
        <v>30</v>
      </c>
      <c r="C59">
        <v>59</v>
      </c>
    </row>
    <row r="60" spans="1:3" x14ac:dyDescent="0.2">
      <c r="A60" t="s">
        <v>1023</v>
      </c>
      <c r="B60">
        <v>8</v>
      </c>
      <c r="C60">
        <v>57</v>
      </c>
    </row>
    <row r="61" spans="1:3" x14ac:dyDescent="0.2">
      <c r="A61" t="s">
        <v>1024</v>
      </c>
      <c r="B61">
        <v>16</v>
      </c>
      <c r="C61">
        <v>34</v>
      </c>
    </row>
    <row r="62" spans="1:3" x14ac:dyDescent="0.2">
      <c r="A62" t="s">
        <v>1025</v>
      </c>
      <c r="B62">
        <v>19</v>
      </c>
      <c r="C62">
        <v>49</v>
      </c>
    </row>
    <row r="63" spans="1:3" x14ac:dyDescent="0.2">
      <c r="A63" t="s">
        <v>1026</v>
      </c>
      <c r="B63">
        <v>32</v>
      </c>
      <c r="C63">
        <v>56</v>
      </c>
    </row>
    <row r="64" spans="1:3" x14ac:dyDescent="0.2">
      <c r="A64" t="s">
        <v>1027</v>
      </c>
      <c r="B64">
        <v>38</v>
      </c>
      <c r="C64">
        <v>9</v>
      </c>
    </row>
    <row r="65" spans="1:3" x14ac:dyDescent="0.2">
      <c r="A65" t="s">
        <v>1028</v>
      </c>
      <c r="B65">
        <v>13</v>
      </c>
      <c r="C65">
        <v>17</v>
      </c>
    </row>
    <row r="66" spans="1:3" x14ac:dyDescent="0.2">
      <c r="A66" t="s">
        <v>1029</v>
      </c>
      <c r="B66">
        <v>20</v>
      </c>
      <c r="C66">
        <v>56</v>
      </c>
    </row>
    <row r="67" spans="1:3" x14ac:dyDescent="0.2">
      <c r="A67" t="s">
        <v>1030</v>
      </c>
      <c r="B67">
        <v>29</v>
      </c>
      <c r="C67">
        <v>55</v>
      </c>
    </row>
    <row r="68" spans="1:3" x14ac:dyDescent="0.2">
      <c r="A68" t="s">
        <v>1031</v>
      </c>
      <c r="B68">
        <v>34</v>
      </c>
      <c r="C68">
        <v>51</v>
      </c>
    </row>
    <row r="69" spans="1:3" x14ac:dyDescent="0.2">
      <c r="A69" t="s">
        <v>1032</v>
      </c>
      <c r="B69">
        <v>18</v>
      </c>
      <c r="C69">
        <v>11</v>
      </c>
    </row>
    <row r="70" spans="1:3" x14ac:dyDescent="0.2">
      <c r="A70" s="25" t="s">
        <v>1033</v>
      </c>
    </row>
    <row r="71" spans="1:3" x14ac:dyDescent="0.2">
      <c r="A71" t="s">
        <v>1034</v>
      </c>
      <c r="B71">
        <v>21</v>
      </c>
      <c r="C71">
        <v>12</v>
      </c>
    </row>
    <row r="72" spans="1:3" x14ac:dyDescent="0.2">
      <c r="A72" t="s">
        <v>1035</v>
      </c>
      <c r="B72">
        <v>21</v>
      </c>
      <c r="C72">
        <v>50</v>
      </c>
    </row>
    <row r="73" spans="1:3" x14ac:dyDescent="0.2">
      <c r="A73" t="s">
        <v>1036</v>
      </c>
      <c r="B73">
        <v>15</v>
      </c>
      <c r="C73">
        <v>55</v>
      </c>
    </row>
    <row r="74" spans="1:3" x14ac:dyDescent="0.2">
      <c r="A74" t="s">
        <v>1037</v>
      </c>
      <c r="B74">
        <v>6</v>
      </c>
      <c r="C74">
        <v>37</v>
      </c>
    </row>
    <row r="75" spans="1:3" x14ac:dyDescent="0.2">
      <c r="A75" t="s">
        <v>1038</v>
      </c>
      <c r="B75">
        <v>12</v>
      </c>
      <c r="C75">
        <v>20</v>
      </c>
    </row>
    <row r="76" spans="1:3" x14ac:dyDescent="0.2">
      <c r="A76" t="s">
        <v>1039</v>
      </c>
      <c r="B76">
        <v>11</v>
      </c>
      <c r="C76">
        <v>18</v>
      </c>
    </row>
    <row r="77" spans="1:3" x14ac:dyDescent="0.2">
      <c r="A77" t="s">
        <v>1040</v>
      </c>
      <c r="B77">
        <v>13</v>
      </c>
      <c r="C77">
        <v>35</v>
      </c>
    </row>
    <row r="78" spans="1:3" x14ac:dyDescent="0.2">
      <c r="A78" t="s">
        <v>1041</v>
      </c>
      <c r="B78">
        <v>33</v>
      </c>
      <c r="C78">
        <v>45</v>
      </c>
    </row>
    <row r="79" spans="1:3" x14ac:dyDescent="0.2">
      <c r="A79" t="s">
        <v>1042</v>
      </c>
      <c r="B79">
        <v>33</v>
      </c>
      <c r="C79">
        <v>17</v>
      </c>
    </row>
    <row r="80" spans="1:3" x14ac:dyDescent="0.2">
      <c r="A80" t="s">
        <v>1043</v>
      </c>
      <c r="B80">
        <v>25</v>
      </c>
      <c r="C80">
        <v>16</v>
      </c>
    </row>
    <row r="81" spans="1:3" x14ac:dyDescent="0.2">
      <c r="A81" t="s">
        <v>1044</v>
      </c>
      <c r="B81">
        <v>8</v>
      </c>
      <c r="C81">
        <v>50</v>
      </c>
    </row>
    <row r="82" spans="1:3" x14ac:dyDescent="0.2">
      <c r="A82" t="s">
        <v>1045</v>
      </c>
      <c r="B82">
        <v>19</v>
      </c>
      <c r="C82">
        <v>53</v>
      </c>
    </row>
    <row r="83" spans="1:3" x14ac:dyDescent="0.2">
      <c r="A83" t="s">
        <v>1046</v>
      </c>
      <c r="B83">
        <v>32</v>
      </c>
      <c r="C83">
        <v>53</v>
      </c>
    </row>
    <row r="84" spans="1:3" x14ac:dyDescent="0.2">
      <c r="A84" t="s">
        <v>1047</v>
      </c>
      <c r="B84">
        <v>21</v>
      </c>
      <c r="C84">
        <v>53</v>
      </c>
    </row>
    <row r="85" spans="1:3" x14ac:dyDescent="0.2">
      <c r="A85" t="s">
        <v>1048</v>
      </c>
      <c r="B85">
        <v>46</v>
      </c>
      <c r="C85">
        <v>50</v>
      </c>
    </row>
    <row r="86" spans="1:3" x14ac:dyDescent="0.2">
      <c r="A86" s="25" t="s">
        <v>1049</v>
      </c>
    </row>
    <row r="87" spans="1:3" x14ac:dyDescent="0.2">
      <c r="A87" t="s">
        <v>1050</v>
      </c>
      <c r="B87">
        <v>34</v>
      </c>
      <c r="C87">
        <v>45</v>
      </c>
    </row>
    <row r="88" spans="1:3" x14ac:dyDescent="0.2">
      <c r="A88" t="s">
        <v>1051</v>
      </c>
      <c r="B88">
        <v>34</v>
      </c>
      <c r="C88">
        <v>16</v>
      </c>
    </row>
    <row r="89" spans="1:3" x14ac:dyDescent="0.2">
      <c r="A89" t="s">
        <v>1052</v>
      </c>
      <c r="B89">
        <v>20</v>
      </c>
      <c r="C89">
        <v>13</v>
      </c>
    </row>
    <row r="90" spans="1:3" x14ac:dyDescent="0.2">
      <c r="A90" t="s">
        <v>1053</v>
      </c>
      <c r="B90">
        <v>23</v>
      </c>
      <c r="C90">
        <v>6</v>
      </c>
    </row>
    <row r="91" spans="1:3" x14ac:dyDescent="0.2">
      <c r="A91" t="s">
        <v>1054</v>
      </c>
      <c r="B91">
        <v>23</v>
      </c>
      <c r="C91">
        <v>57</v>
      </c>
    </row>
    <row r="92" spans="1:3" x14ac:dyDescent="0.2">
      <c r="A92" t="s">
        <v>1055</v>
      </c>
      <c r="B92">
        <v>43</v>
      </c>
      <c r="C92">
        <v>21</v>
      </c>
    </row>
    <row r="93" spans="1:3" x14ac:dyDescent="0.2">
      <c r="A93" t="s">
        <v>1056</v>
      </c>
      <c r="B93">
        <v>28</v>
      </c>
      <c r="C93">
        <v>11</v>
      </c>
    </row>
    <row r="94" spans="1:3" x14ac:dyDescent="0.2">
      <c r="A94" s="25" t="s">
        <v>1057</v>
      </c>
    </row>
    <row r="95" spans="1:3" x14ac:dyDescent="0.2">
      <c r="A95" t="s">
        <v>1058</v>
      </c>
      <c r="B95">
        <v>17</v>
      </c>
      <c r="C95">
        <v>24</v>
      </c>
    </row>
    <row r="96" spans="1:3" x14ac:dyDescent="0.2">
      <c r="A96" t="s">
        <v>1059</v>
      </c>
      <c r="B96">
        <v>18</v>
      </c>
      <c r="C96">
        <v>26</v>
      </c>
    </row>
    <row r="97" spans="1:3" x14ac:dyDescent="0.2">
      <c r="A97" t="s">
        <v>1060</v>
      </c>
      <c r="B97">
        <v>21</v>
      </c>
      <c r="C97">
        <v>29</v>
      </c>
    </row>
    <row r="98" spans="1:3" x14ac:dyDescent="0.2">
      <c r="A98" t="s">
        <v>1061</v>
      </c>
      <c r="B98">
        <v>20</v>
      </c>
      <c r="C98">
        <v>10</v>
      </c>
    </row>
    <row r="99" spans="1:3" x14ac:dyDescent="0.2">
      <c r="A99" t="s">
        <v>1062</v>
      </c>
      <c r="B99">
        <v>17</v>
      </c>
      <c r="C99">
        <v>30</v>
      </c>
    </row>
    <row r="100" spans="1:3" x14ac:dyDescent="0.2">
      <c r="A100" t="s">
        <v>1063</v>
      </c>
      <c r="B100">
        <v>35</v>
      </c>
      <c r="C100">
        <v>55</v>
      </c>
    </row>
    <row r="101" spans="1:3" x14ac:dyDescent="0.2">
      <c r="A101" t="s">
        <v>1064</v>
      </c>
      <c r="B101">
        <v>23</v>
      </c>
      <c r="C101">
        <v>53</v>
      </c>
    </row>
    <row r="102" spans="1:3" x14ac:dyDescent="0.2">
      <c r="A102" t="s">
        <v>1065</v>
      </c>
      <c r="B102">
        <v>10</v>
      </c>
      <c r="C102">
        <v>55</v>
      </c>
    </row>
    <row r="103" spans="1:3" x14ac:dyDescent="0.2">
      <c r="A103" t="s">
        <v>1066</v>
      </c>
      <c r="B103">
        <v>11</v>
      </c>
      <c r="C103">
        <v>31</v>
      </c>
    </row>
    <row r="104" spans="1:3" x14ac:dyDescent="0.2">
      <c r="A104" t="s">
        <v>1067</v>
      </c>
      <c r="B104">
        <v>24</v>
      </c>
      <c r="C104">
        <v>15</v>
      </c>
    </row>
    <row r="105" spans="1:3" x14ac:dyDescent="0.2">
      <c r="A105" s="9" t="str">
        <f>"总时长："&amp;TEXT(SUM(B:B)/1440+SUM(C:C)/86400,"[h]:mm:ss")</f>
        <v>总时长：34:45:01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2528-5189-4B38-AEBA-65274230A6BD}">
  <dimension ref="A1:F5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2" sqref="F2"/>
    </sheetView>
  </sheetViews>
  <sheetFormatPr defaultRowHeight="14.25" x14ac:dyDescent="0.2"/>
  <cols>
    <col min="1" max="1" width="36.25" bestFit="1" customWidth="1"/>
  </cols>
  <sheetData>
    <row r="1" spans="1:6" ht="19.5" x14ac:dyDescent="0.2">
      <c r="A1" s="13" t="s">
        <v>35</v>
      </c>
      <c r="B1" s="14" t="s">
        <v>36</v>
      </c>
      <c r="C1" s="14" t="s">
        <v>37</v>
      </c>
      <c r="D1" s="15" t="s">
        <v>53</v>
      </c>
      <c r="F1" s="31" t="s">
        <v>1120</v>
      </c>
    </row>
    <row r="2" spans="1:6" x14ac:dyDescent="0.2">
      <c r="A2" s="25" t="s">
        <v>1069</v>
      </c>
    </row>
    <row r="3" spans="1:6" x14ac:dyDescent="0.2">
      <c r="A3" t="s">
        <v>1070</v>
      </c>
      <c r="B3">
        <v>4</v>
      </c>
      <c r="C3">
        <v>22</v>
      </c>
    </row>
    <row r="4" spans="1:6" x14ac:dyDescent="0.2">
      <c r="A4" t="s">
        <v>1071</v>
      </c>
      <c r="B4">
        <v>26</v>
      </c>
      <c r="C4">
        <v>24</v>
      </c>
    </row>
    <row r="5" spans="1:6" x14ac:dyDescent="0.2">
      <c r="A5" t="s">
        <v>1072</v>
      </c>
      <c r="B5">
        <v>29</v>
      </c>
      <c r="C5">
        <v>43</v>
      </c>
    </row>
    <row r="6" spans="1:6" x14ac:dyDescent="0.2">
      <c r="A6" s="25" t="s">
        <v>1073</v>
      </c>
    </row>
    <row r="7" spans="1:6" x14ac:dyDescent="0.2">
      <c r="A7" t="s">
        <v>1074</v>
      </c>
      <c r="B7">
        <v>8</v>
      </c>
      <c r="C7">
        <v>55</v>
      </c>
    </row>
    <row r="8" spans="1:6" x14ac:dyDescent="0.2">
      <c r="A8" t="s">
        <v>1075</v>
      </c>
      <c r="B8">
        <v>19</v>
      </c>
      <c r="C8">
        <v>49</v>
      </c>
    </row>
    <row r="9" spans="1:6" x14ac:dyDescent="0.2">
      <c r="A9" t="s">
        <v>1076</v>
      </c>
      <c r="B9">
        <v>8</v>
      </c>
      <c r="C9">
        <v>19</v>
      </c>
    </row>
    <row r="10" spans="1:6" x14ac:dyDescent="0.2">
      <c r="A10" s="25" t="s">
        <v>1077</v>
      </c>
    </row>
    <row r="11" spans="1:6" x14ac:dyDescent="0.2">
      <c r="A11" t="s">
        <v>1078</v>
      </c>
      <c r="B11">
        <v>19</v>
      </c>
      <c r="C11">
        <v>35</v>
      </c>
    </row>
    <row r="12" spans="1:6" x14ac:dyDescent="0.2">
      <c r="A12" t="s">
        <v>1079</v>
      </c>
      <c r="B12">
        <v>13</v>
      </c>
      <c r="C12">
        <v>58</v>
      </c>
    </row>
    <row r="13" spans="1:6" x14ac:dyDescent="0.2">
      <c r="A13" t="s">
        <v>1080</v>
      </c>
      <c r="B13">
        <v>19</v>
      </c>
      <c r="C13">
        <v>57</v>
      </c>
    </row>
    <row r="14" spans="1:6" x14ac:dyDescent="0.2">
      <c r="A14" t="s">
        <v>1081</v>
      </c>
      <c r="B14">
        <v>5</v>
      </c>
      <c r="C14">
        <v>35</v>
      </c>
    </row>
    <row r="15" spans="1:6" x14ac:dyDescent="0.2">
      <c r="A15" t="s">
        <v>1082</v>
      </c>
      <c r="B15">
        <v>15</v>
      </c>
      <c r="C15">
        <v>41</v>
      </c>
    </row>
    <row r="16" spans="1:6" x14ac:dyDescent="0.2">
      <c r="A16" t="s">
        <v>1083</v>
      </c>
      <c r="B16">
        <v>16</v>
      </c>
      <c r="C16">
        <v>44</v>
      </c>
    </row>
    <row r="17" spans="1:3" x14ac:dyDescent="0.2">
      <c r="A17" s="25" t="s">
        <v>1084</v>
      </c>
    </row>
    <row r="18" spans="1:3" x14ac:dyDescent="0.2">
      <c r="A18" t="s">
        <v>1085</v>
      </c>
      <c r="B18">
        <v>11</v>
      </c>
      <c r="C18">
        <v>47</v>
      </c>
    </row>
    <row r="19" spans="1:3" x14ac:dyDescent="0.2">
      <c r="A19" t="s">
        <v>1086</v>
      </c>
      <c r="B19">
        <v>20</v>
      </c>
      <c r="C19">
        <v>2</v>
      </c>
    </row>
    <row r="20" spans="1:3" x14ac:dyDescent="0.2">
      <c r="A20" t="s">
        <v>1087</v>
      </c>
      <c r="B20">
        <v>10</v>
      </c>
      <c r="C20">
        <v>32</v>
      </c>
    </row>
    <row r="21" spans="1:3" x14ac:dyDescent="0.2">
      <c r="A21" t="s">
        <v>1088</v>
      </c>
      <c r="B21">
        <v>18</v>
      </c>
      <c r="C21">
        <v>6</v>
      </c>
    </row>
    <row r="22" spans="1:3" x14ac:dyDescent="0.2">
      <c r="A22" s="25" t="s">
        <v>1089</v>
      </c>
    </row>
    <row r="23" spans="1:3" x14ac:dyDescent="0.2">
      <c r="A23" t="s">
        <v>1090</v>
      </c>
      <c r="B23">
        <v>12</v>
      </c>
      <c r="C23">
        <v>42</v>
      </c>
    </row>
    <row r="24" spans="1:3" x14ac:dyDescent="0.2">
      <c r="A24" t="s">
        <v>1091</v>
      </c>
      <c r="B24">
        <v>17</v>
      </c>
      <c r="C24">
        <v>3</v>
      </c>
    </row>
    <row r="25" spans="1:3" x14ac:dyDescent="0.2">
      <c r="A25" t="s">
        <v>1092</v>
      </c>
      <c r="B25">
        <v>12</v>
      </c>
      <c r="C25">
        <v>11</v>
      </c>
    </row>
    <row r="26" spans="1:3" x14ac:dyDescent="0.2">
      <c r="A26" t="s">
        <v>1093</v>
      </c>
      <c r="B26">
        <v>4</v>
      </c>
      <c r="C26">
        <v>47</v>
      </c>
    </row>
    <row r="27" spans="1:3" x14ac:dyDescent="0.2">
      <c r="A27" t="s">
        <v>1094</v>
      </c>
      <c r="B27">
        <v>7</v>
      </c>
      <c r="C27">
        <v>16</v>
      </c>
    </row>
    <row r="28" spans="1:3" x14ac:dyDescent="0.2">
      <c r="A28" t="s">
        <v>1095</v>
      </c>
      <c r="B28">
        <v>8</v>
      </c>
      <c r="C28">
        <v>32</v>
      </c>
    </row>
    <row r="29" spans="1:3" x14ac:dyDescent="0.2">
      <c r="A29" s="25" t="s">
        <v>1096</v>
      </c>
    </row>
    <row r="30" spans="1:3" x14ac:dyDescent="0.2">
      <c r="A30" t="s">
        <v>1097</v>
      </c>
      <c r="B30">
        <v>11</v>
      </c>
      <c r="C30">
        <v>8</v>
      </c>
    </row>
    <row r="31" spans="1:3" x14ac:dyDescent="0.2">
      <c r="A31" t="s">
        <v>1098</v>
      </c>
      <c r="B31">
        <v>35</v>
      </c>
      <c r="C31">
        <v>29</v>
      </c>
    </row>
    <row r="32" spans="1:3" x14ac:dyDescent="0.2">
      <c r="A32" t="s">
        <v>1099</v>
      </c>
      <c r="B32">
        <v>11</v>
      </c>
      <c r="C32">
        <v>49</v>
      </c>
    </row>
    <row r="33" spans="1:3" x14ac:dyDescent="0.2">
      <c r="A33" t="s">
        <v>1100</v>
      </c>
      <c r="B33">
        <v>36</v>
      </c>
      <c r="C33">
        <v>53</v>
      </c>
    </row>
    <row r="34" spans="1:3" x14ac:dyDescent="0.2">
      <c r="A34" t="s">
        <v>1101</v>
      </c>
      <c r="B34">
        <v>12</v>
      </c>
      <c r="C34">
        <v>51</v>
      </c>
    </row>
    <row r="35" spans="1:3" x14ac:dyDescent="0.2">
      <c r="A35" s="25" t="s">
        <v>1102</v>
      </c>
    </row>
    <row r="36" spans="1:3" x14ac:dyDescent="0.2">
      <c r="A36" t="s">
        <v>388</v>
      </c>
      <c r="B36">
        <v>5</v>
      </c>
      <c r="C36">
        <v>18</v>
      </c>
    </row>
    <row r="37" spans="1:3" x14ac:dyDescent="0.2">
      <c r="A37" t="s">
        <v>1103</v>
      </c>
      <c r="B37">
        <v>36</v>
      </c>
      <c r="C37">
        <v>26</v>
      </c>
    </row>
    <row r="38" spans="1:3" x14ac:dyDescent="0.2">
      <c r="A38" t="s">
        <v>1104</v>
      </c>
      <c r="B38">
        <v>13</v>
      </c>
      <c r="C38">
        <v>20</v>
      </c>
    </row>
    <row r="39" spans="1:3" x14ac:dyDescent="0.2">
      <c r="A39" t="s">
        <v>1105</v>
      </c>
      <c r="B39">
        <v>30</v>
      </c>
      <c r="C39">
        <v>38</v>
      </c>
    </row>
    <row r="40" spans="1:3" x14ac:dyDescent="0.2">
      <c r="A40" s="25" t="s">
        <v>1106</v>
      </c>
    </row>
    <row r="41" spans="1:3" x14ac:dyDescent="0.2">
      <c r="A41" t="s">
        <v>1107</v>
      </c>
      <c r="B41">
        <v>20</v>
      </c>
      <c r="C41">
        <v>46</v>
      </c>
    </row>
    <row r="42" spans="1:3" x14ac:dyDescent="0.2">
      <c r="A42" t="s">
        <v>1108</v>
      </c>
      <c r="B42">
        <v>18</v>
      </c>
      <c r="C42">
        <v>27</v>
      </c>
    </row>
    <row r="43" spans="1:3" x14ac:dyDescent="0.2">
      <c r="A43" t="s">
        <v>1109</v>
      </c>
      <c r="B43">
        <v>12</v>
      </c>
      <c r="C43">
        <v>45</v>
      </c>
    </row>
    <row r="44" spans="1:3" x14ac:dyDescent="0.2">
      <c r="A44" t="s">
        <v>1110</v>
      </c>
      <c r="B44">
        <v>10</v>
      </c>
      <c r="C44">
        <v>34</v>
      </c>
    </row>
    <row r="45" spans="1:3" x14ac:dyDescent="0.2">
      <c r="A45" t="s">
        <v>1111</v>
      </c>
      <c r="B45">
        <v>36</v>
      </c>
      <c r="C45">
        <v>24</v>
      </c>
    </row>
    <row r="46" spans="1:3" x14ac:dyDescent="0.2">
      <c r="A46" s="25" t="s">
        <v>1112</v>
      </c>
    </row>
    <row r="47" spans="1:3" x14ac:dyDescent="0.2">
      <c r="A47" t="s">
        <v>1113</v>
      </c>
      <c r="B47">
        <v>42</v>
      </c>
      <c r="C47">
        <v>57</v>
      </c>
    </row>
    <row r="48" spans="1:3" x14ac:dyDescent="0.2">
      <c r="A48" t="s">
        <v>1114</v>
      </c>
      <c r="B48">
        <v>37</v>
      </c>
      <c r="C48">
        <v>47</v>
      </c>
    </row>
    <row r="49" spans="1:3" x14ac:dyDescent="0.2">
      <c r="A49" t="s">
        <v>1115</v>
      </c>
      <c r="B49">
        <v>18</v>
      </c>
      <c r="C49">
        <v>21</v>
      </c>
    </row>
    <row r="50" spans="1:3" x14ac:dyDescent="0.2">
      <c r="A50" t="s">
        <v>1116</v>
      </c>
      <c r="B50">
        <v>28</v>
      </c>
      <c r="C50">
        <v>38</v>
      </c>
    </row>
    <row r="51" spans="1:3" x14ac:dyDescent="0.2">
      <c r="A51" t="s">
        <v>1117</v>
      </c>
      <c r="B51">
        <v>66</v>
      </c>
      <c r="C51">
        <v>5</v>
      </c>
    </row>
    <row r="52" spans="1:3" x14ac:dyDescent="0.2">
      <c r="A52" t="s">
        <v>1118</v>
      </c>
      <c r="B52">
        <v>34</v>
      </c>
      <c r="C52">
        <v>20</v>
      </c>
    </row>
    <row r="53" spans="1:3" x14ac:dyDescent="0.2">
      <c r="A53" s="9" t="str">
        <f>"总时长："&amp;TEXT(SUM(B:B)/1440+SUM(C:C)/86400,"[h]:mm:ss")</f>
        <v>总时长：13:52:56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85B4-31C6-4790-99C8-88E5BB536276}">
  <dimension ref="A1:F66"/>
  <sheetViews>
    <sheetView workbookViewId="0">
      <pane xSplit="4" ySplit="1" topLeftCell="E45" activePane="bottomRight" state="frozen"/>
      <selection pane="topRight" activeCell="E1" sqref="E1"/>
      <selection pane="bottomLeft" activeCell="A2" sqref="A2"/>
      <selection pane="bottomRight" activeCell="C66" sqref="C66"/>
    </sheetView>
  </sheetViews>
  <sheetFormatPr defaultRowHeight="14.25" x14ac:dyDescent="0.2"/>
  <cols>
    <col min="1" max="1" width="36.25" bestFit="1" customWidth="1"/>
  </cols>
  <sheetData>
    <row r="1" spans="1:6" ht="19.5" x14ac:dyDescent="0.2">
      <c r="A1" s="13" t="s">
        <v>35</v>
      </c>
      <c r="B1" s="14" t="s">
        <v>36</v>
      </c>
      <c r="C1" s="14" t="s">
        <v>37</v>
      </c>
      <c r="D1" s="15" t="s">
        <v>53</v>
      </c>
      <c r="F1" s="31" t="s">
        <v>1119</v>
      </c>
    </row>
    <row r="2" spans="1:6" x14ac:dyDescent="0.2">
      <c r="A2" s="83" t="s">
        <v>1122</v>
      </c>
      <c r="B2" s="84"/>
      <c r="C2" s="84"/>
      <c r="D2" s="84"/>
    </row>
    <row r="3" spans="1:6" x14ac:dyDescent="0.2">
      <c r="A3" t="s">
        <v>1123</v>
      </c>
      <c r="B3">
        <v>48</v>
      </c>
      <c r="C3">
        <v>21</v>
      </c>
    </row>
    <row r="4" spans="1:6" x14ac:dyDescent="0.2">
      <c r="A4" t="s">
        <v>1124</v>
      </c>
      <c r="B4">
        <v>52</v>
      </c>
      <c r="C4">
        <v>12</v>
      </c>
    </row>
    <row r="5" spans="1:6" x14ac:dyDescent="0.2">
      <c r="A5" t="s">
        <v>1125</v>
      </c>
      <c r="B5">
        <v>53</v>
      </c>
      <c r="C5">
        <v>52</v>
      </c>
    </row>
    <row r="6" spans="1:6" x14ac:dyDescent="0.2">
      <c r="A6" t="s">
        <v>1126</v>
      </c>
      <c r="B6">
        <v>40</v>
      </c>
      <c r="C6">
        <v>4</v>
      </c>
    </row>
    <row r="7" spans="1:6" x14ac:dyDescent="0.2">
      <c r="A7" t="s">
        <v>1127</v>
      </c>
      <c r="B7">
        <v>63</v>
      </c>
      <c r="C7">
        <v>30</v>
      </c>
    </row>
    <row r="8" spans="1:6" x14ac:dyDescent="0.2">
      <c r="A8" t="s">
        <v>1128</v>
      </c>
      <c r="B8">
        <v>39</v>
      </c>
      <c r="C8">
        <v>52</v>
      </c>
    </row>
    <row r="9" spans="1:6" x14ac:dyDescent="0.2">
      <c r="A9" t="s">
        <v>1129</v>
      </c>
      <c r="B9">
        <v>32</v>
      </c>
      <c r="C9">
        <v>11</v>
      </c>
    </row>
    <row r="10" spans="1:6" x14ac:dyDescent="0.2">
      <c r="A10" s="83" t="s">
        <v>1130</v>
      </c>
      <c r="B10" s="84"/>
      <c r="C10" s="84"/>
      <c r="D10" s="84"/>
    </row>
    <row r="11" spans="1:6" x14ac:dyDescent="0.2">
      <c r="A11" t="s">
        <v>388</v>
      </c>
      <c r="B11">
        <v>13</v>
      </c>
      <c r="C11">
        <v>22</v>
      </c>
    </row>
    <row r="12" spans="1:6" x14ac:dyDescent="0.2">
      <c r="A12" t="s">
        <v>1131</v>
      </c>
      <c r="B12">
        <v>35</v>
      </c>
      <c r="C12">
        <v>31</v>
      </c>
    </row>
    <row r="13" spans="1:6" x14ac:dyDescent="0.2">
      <c r="A13" t="s">
        <v>1132</v>
      </c>
      <c r="B13">
        <v>37</v>
      </c>
      <c r="C13">
        <v>29</v>
      </c>
    </row>
    <row r="14" spans="1:6" x14ac:dyDescent="0.2">
      <c r="A14" t="s">
        <v>1133</v>
      </c>
      <c r="B14">
        <v>31</v>
      </c>
      <c r="C14">
        <v>57</v>
      </c>
    </row>
    <row r="15" spans="1:6" x14ac:dyDescent="0.2">
      <c r="A15" t="s">
        <v>1134</v>
      </c>
      <c r="B15" s="85">
        <v>38</v>
      </c>
      <c r="C15" s="85">
        <v>24</v>
      </c>
    </row>
    <row r="16" spans="1:6" x14ac:dyDescent="0.2">
      <c r="A16" t="s">
        <v>1135</v>
      </c>
      <c r="B16">
        <v>14</v>
      </c>
      <c r="C16">
        <v>51</v>
      </c>
    </row>
    <row r="17" spans="1:4" x14ac:dyDescent="0.2">
      <c r="A17" t="s">
        <v>1136</v>
      </c>
      <c r="B17">
        <v>46</v>
      </c>
      <c r="C17">
        <v>17</v>
      </c>
    </row>
    <row r="18" spans="1:4" x14ac:dyDescent="0.2">
      <c r="A18" t="s">
        <v>1137</v>
      </c>
      <c r="B18">
        <v>51</v>
      </c>
      <c r="C18">
        <v>22</v>
      </c>
    </row>
    <row r="19" spans="1:4" x14ac:dyDescent="0.2">
      <c r="A19" t="s">
        <v>1138</v>
      </c>
      <c r="B19">
        <v>56</v>
      </c>
      <c r="C19">
        <v>17</v>
      </c>
    </row>
    <row r="20" spans="1:4" x14ac:dyDescent="0.2">
      <c r="A20" t="s">
        <v>1139</v>
      </c>
      <c r="B20">
        <v>25</v>
      </c>
      <c r="C20">
        <v>57</v>
      </c>
    </row>
    <row r="21" spans="1:4" x14ac:dyDescent="0.2">
      <c r="A21" t="s">
        <v>1140</v>
      </c>
      <c r="B21">
        <v>25</v>
      </c>
      <c r="C21">
        <v>26</v>
      </c>
    </row>
    <row r="22" spans="1:4" x14ac:dyDescent="0.2">
      <c r="A22" t="s">
        <v>1141</v>
      </c>
      <c r="B22">
        <v>29</v>
      </c>
      <c r="C22">
        <v>29</v>
      </c>
    </row>
    <row r="23" spans="1:4" x14ac:dyDescent="0.2">
      <c r="A23" t="s">
        <v>1142</v>
      </c>
      <c r="B23">
        <v>44</v>
      </c>
      <c r="C23">
        <v>24</v>
      </c>
    </row>
    <row r="24" spans="1:4" x14ac:dyDescent="0.2">
      <c r="A24" t="s">
        <v>1143</v>
      </c>
      <c r="B24">
        <v>23</v>
      </c>
      <c r="C24">
        <v>29</v>
      </c>
    </row>
    <row r="25" spans="1:4" x14ac:dyDescent="0.2">
      <c r="A25" s="83" t="s">
        <v>1144</v>
      </c>
      <c r="B25" s="84"/>
      <c r="C25" s="84"/>
      <c r="D25" s="84"/>
    </row>
    <row r="26" spans="1:4" x14ac:dyDescent="0.2">
      <c r="A26" t="s">
        <v>388</v>
      </c>
      <c r="B26">
        <v>37</v>
      </c>
      <c r="C26">
        <v>11</v>
      </c>
    </row>
    <row r="27" spans="1:4" x14ac:dyDescent="0.2">
      <c r="A27" t="s">
        <v>1145</v>
      </c>
      <c r="B27">
        <v>31</v>
      </c>
      <c r="C27">
        <v>57</v>
      </c>
    </row>
    <row r="28" spans="1:4" x14ac:dyDescent="0.2">
      <c r="A28" t="s">
        <v>1146</v>
      </c>
      <c r="B28">
        <v>21</v>
      </c>
      <c r="C28">
        <v>36</v>
      </c>
    </row>
    <row r="29" spans="1:4" x14ac:dyDescent="0.2">
      <c r="A29" t="s">
        <v>1147</v>
      </c>
      <c r="B29">
        <v>33</v>
      </c>
      <c r="C29">
        <v>17</v>
      </c>
    </row>
    <row r="30" spans="1:4" x14ac:dyDescent="0.2">
      <c r="A30" t="s">
        <v>1148</v>
      </c>
      <c r="B30">
        <v>23</v>
      </c>
      <c r="C30">
        <v>42</v>
      </c>
    </row>
    <row r="31" spans="1:4" x14ac:dyDescent="0.2">
      <c r="A31" t="s">
        <v>1149</v>
      </c>
      <c r="B31">
        <v>29</v>
      </c>
      <c r="C31">
        <v>13</v>
      </c>
    </row>
    <row r="32" spans="1:4" x14ac:dyDescent="0.2">
      <c r="A32" t="s">
        <v>1150</v>
      </c>
      <c r="B32">
        <v>22</v>
      </c>
      <c r="C32">
        <v>44</v>
      </c>
    </row>
    <row r="33" spans="1:4" x14ac:dyDescent="0.2">
      <c r="A33" s="83" t="s">
        <v>1151</v>
      </c>
      <c r="B33" s="84"/>
      <c r="C33" s="84"/>
      <c r="D33" s="84"/>
    </row>
    <row r="34" spans="1:4" x14ac:dyDescent="0.2">
      <c r="A34" t="s">
        <v>1152</v>
      </c>
      <c r="B34">
        <v>36</v>
      </c>
      <c r="C34">
        <v>55</v>
      </c>
    </row>
    <row r="35" spans="1:4" x14ac:dyDescent="0.2">
      <c r="A35" t="s">
        <v>1153</v>
      </c>
      <c r="B35">
        <v>23</v>
      </c>
      <c r="C35">
        <v>47</v>
      </c>
    </row>
    <row r="36" spans="1:4" x14ac:dyDescent="0.2">
      <c r="A36" s="83" t="s">
        <v>1154</v>
      </c>
      <c r="B36" s="84"/>
      <c r="C36" s="84"/>
      <c r="D36" s="84"/>
    </row>
    <row r="37" spans="1:4" x14ac:dyDescent="0.2">
      <c r="A37" t="s">
        <v>388</v>
      </c>
      <c r="B37">
        <v>12</v>
      </c>
      <c r="C37">
        <v>25</v>
      </c>
    </row>
    <row r="38" spans="1:4" x14ac:dyDescent="0.2">
      <c r="A38" t="s">
        <v>1155</v>
      </c>
      <c r="B38">
        <v>45</v>
      </c>
      <c r="C38">
        <v>25</v>
      </c>
    </row>
    <row r="39" spans="1:4" x14ac:dyDescent="0.2">
      <c r="A39" t="s">
        <v>1156</v>
      </c>
      <c r="B39">
        <v>8</v>
      </c>
      <c r="C39">
        <v>57</v>
      </c>
    </row>
    <row r="40" spans="1:4" x14ac:dyDescent="0.2">
      <c r="A40" s="83" t="s">
        <v>1157</v>
      </c>
      <c r="B40" s="84"/>
      <c r="C40" s="84"/>
      <c r="D40" s="84"/>
    </row>
    <row r="41" spans="1:4" x14ac:dyDescent="0.2">
      <c r="A41" t="s">
        <v>388</v>
      </c>
      <c r="B41">
        <v>5</v>
      </c>
      <c r="C41">
        <v>16</v>
      </c>
    </row>
    <row r="42" spans="1:4" x14ac:dyDescent="0.2">
      <c r="A42" t="s">
        <v>1158</v>
      </c>
      <c r="B42">
        <v>8</v>
      </c>
      <c r="C42">
        <v>41</v>
      </c>
    </row>
    <row r="43" spans="1:4" x14ac:dyDescent="0.2">
      <c r="A43" t="s">
        <v>1159</v>
      </c>
      <c r="B43">
        <v>8</v>
      </c>
      <c r="C43">
        <v>57</v>
      </c>
    </row>
    <row r="44" spans="1:4" x14ac:dyDescent="0.2">
      <c r="A44" t="s">
        <v>1160</v>
      </c>
      <c r="B44">
        <v>20</v>
      </c>
      <c r="C44">
        <v>24</v>
      </c>
    </row>
    <row r="45" spans="1:4" x14ac:dyDescent="0.2">
      <c r="A45" t="s">
        <v>1161</v>
      </c>
      <c r="B45">
        <v>18</v>
      </c>
      <c r="C45">
        <v>41</v>
      </c>
    </row>
    <row r="46" spans="1:4" x14ac:dyDescent="0.2">
      <c r="A46" t="s">
        <v>1162</v>
      </c>
      <c r="B46">
        <v>27</v>
      </c>
      <c r="C46">
        <v>19</v>
      </c>
    </row>
    <row r="47" spans="1:4" x14ac:dyDescent="0.2">
      <c r="A47" t="s">
        <v>1163</v>
      </c>
      <c r="B47">
        <v>66</v>
      </c>
      <c r="C47">
        <v>23</v>
      </c>
    </row>
    <row r="48" spans="1:4" x14ac:dyDescent="0.2">
      <c r="A48" t="s">
        <v>1164</v>
      </c>
      <c r="B48">
        <v>50</v>
      </c>
      <c r="C48">
        <v>44</v>
      </c>
    </row>
    <row r="49" spans="1:4" x14ac:dyDescent="0.2">
      <c r="A49" t="s">
        <v>1165</v>
      </c>
      <c r="B49">
        <v>55</v>
      </c>
      <c r="C49">
        <v>30</v>
      </c>
    </row>
    <row r="50" spans="1:4" x14ac:dyDescent="0.2">
      <c r="A50" t="s">
        <v>1166</v>
      </c>
      <c r="B50">
        <v>54</v>
      </c>
      <c r="C50">
        <v>45</v>
      </c>
    </row>
    <row r="51" spans="1:4" x14ac:dyDescent="0.2">
      <c r="A51" t="s">
        <v>1167</v>
      </c>
      <c r="B51">
        <v>35</v>
      </c>
      <c r="C51">
        <v>58</v>
      </c>
    </row>
    <row r="52" spans="1:4" x14ac:dyDescent="0.2">
      <c r="A52" t="s">
        <v>1168</v>
      </c>
      <c r="B52">
        <v>61</v>
      </c>
      <c r="C52">
        <v>22</v>
      </c>
    </row>
    <row r="53" spans="1:4" x14ac:dyDescent="0.2">
      <c r="A53" t="s">
        <v>1169</v>
      </c>
      <c r="B53">
        <v>12</v>
      </c>
      <c r="C53">
        <v>44</v>
      </c>
    </row>
    <row r="54" spans="1:4" x14ac:dyDescent="0.2">
      <c r="A54" t="s">
        <v>1170</v>
      </c>
      <c r="B54">
        <v>39</v>
      </c>
      <c r="C54">
        <v>58</v>
      </c>
    </row>
    <row r="55" spans="1:4" x14ac:dyDescent="0.2">
      <c r="A55" t="s">
        <v>1171</v>
      </c>
      <c r="B55">
        <v>28</v>
      </c>
      <c r="C55">
        <v>3</v>
      </c>
    </row>
    <row r="56" spans="1:4" x14ac:dyDescent="0.2">
      <c r="A56" t="s">
        <v>1172</v>
      </c>
      <c r="B56">
        <v>17</v>
      </c>
      <c r="C56">
        <v>17</v>
      </c>
    </row>
    <row r="57" spans="1:4" x14ac:dyDescent="0.2">
      <c r="A57" t="s">
        <v>1173</v>
      </c>
      <c r="B57">
        <v>83</v>
      </c>
      <c r="C57">
        <v>45</v>
      </c>
    </row>
    <row r="58" spans="1:4" x14ac:dyDescent="0.2">
      <c r="A58" t="s">
        <v>1174</v>
      </c>
      <c r="B58">
        <v>27</v>
      </c>
      <c r="C58">
        <v>12</v>
      </c>
    </row>
    <row r="59" spans="1:4" x14ac:dyDescent="0.2">
      <c r="A59" t="s">
        <v>1175</v>
      </c>
      <c r="B59">
        <v>21</v>
      </c>
      <c r="C59">
        <v>28</v>
      </c>
    </row>
    <row r="60" spans="1:4" x14ac:dyDescent="0.2">
      <c r="A60" t="s">
        <v>1176</v>
      </c>
      <c r="B60">
        <v>54</v>
      </c>
      <c r="C60">
        <v>6</v>
      </c>
    </row>
    <row r="61" spans="1:4" x14ac:dyDescent="0.2">
      <c r="A61" t="s">
        <v>1177</v>
      </c>
      <c r="B61">
        <v>67</v>
      </c>
      <c r="C61">
        <v>57</v>
      </c>
    </row>
    <row r="62" spans="1:4" x14ac:dyDescent="0.2">
      <c r="A62" t="s">
        <v>1178</v>
      </c>
      <c r="B62">
        <v>28</v>
      </c>
      <c r="C62">
        <v>35</v>
      </c>
    </row>
    <row r="63" spans="1:4" x14ac:dyDescent="0.2">
      <c r="A63" t="s">
        <v>1179</v>
      </c>
      <c r="B63">
        <v>27</v>
      </c>
      <c r="C63">
        <v>21</v>
      </c>
    </row>
    <row r="64" spans="1:4" x14ac:dyDescent="0.2">
      <c r="A64" s="83" t="s">
        <v>1180</v>
      </c>
      <c r="B64" s="84"/>
      <c r="C64" s="84"/>
      <c r="D64" s="84"/>
    </row>
    <row r="65" spans="1:3" x14ac:dyDescent="0.2">
      <c r="A65" t="s">
        <v>1181</v>
      </c>
      <c r="B65">
        <v>5</v>
      </c>
      <c r="C65">
        <v>45</v>
      </c>
    </row>
    <row r="66" spans="1:3" x14ac:dyDescent="0.2">
      <c r="A66" s="9" t="str">
        <f>"总时长："&amp;TEXT(SUM(B:B)/1440+SUM(C:C)/86400,"[h]:mm:ss")</f>
        <v>总时长：32:39:37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140B-BC28-463F-83D4-E613D48B68A9}">
  <dimension ref="A1:F54"/>
  <sheetViews>
    <sheetView workbookViewId="0">
      <pane xSplit="4" ySplit="1" topLeftCell="E35" activePane="bottomRight" state="frozen"/>
      <selection pane="topRight" activeCell="E1" sqref="E1"/>
      <selection pane="bottomLeft" activeCell="A2" sqref="A2"/>
      <selection pane="bottomRight" activeCell="C54" sqref="C54"/>
    </sheetView>
  </sheetViews>
  <sheetFormatPr defaultRowHeight="14.25" x14ac:dyDescent="0.2"/>
  <cols>
    <col min="1" max="1" width="20.5" bestFit="1" customWidth="1"/>
    <col min="2" max="3" width="9.375" customWidth="1"/>
  </cols>
  <sheetData>
    <row r="1" spans="1:6" ht="19.5" x14ac:dyDescent="0.2">
      <c r="A1" s="13" t="s">
        <v>35</v>
      </c>
      <c r="B1" s="14" t="s">
        <v>36</v>
      </c>
      <c r="C1" s="14" t="s">
        <v>37</v>
      </c>
      <c r="D1" s="15" t="s">
        <v>53</v>
      </c>
      <c r="F1" s="31" t="s">
        <v>891</v>
      </c>
    </row>
    <row r="2" spans="1:6" x14ac:dyDescent="0.2">
      <c r="A2" t="s">
        <v>601</v>
      </c>
      <c r="B2">
        <v>46</v>
      </c>
      <c r="C2">
        <v>47</v>
      </c>
    </row>
    <row r="3" spans="1:6" x14ac:dyDescent="0.2">
      <c r="A3" t="s">
        <v>602</v>
      </c>
      <c r="B3">
        <v>48</v>
      </c>
      <c r="C3">
        <v>41</v>
      </c>
    </row>
    <row r="4" spans="1:6" x14ac:dyDescent="0.2">
      <c r="A4" t="s">
        <v>603</v>
      </c>
      <c r="B4">
        <v>46</v>
      </c>
      <c r="C4">
        <v>30</v>
      </c>
    </row>
    <row r="5" spans="1:6" x14ac:dyDescent="0.2">
      <c r="A5" t="s">
        <v>604</v>
      </c>
      <c r="B5">
        <v>37</v>
      </c>
      <c r="C5">
        <v>30</v>
      </c>
    </row>
    <row r="6" spans="1:6" x14ac:dyDescent="0.2">
      <c r="A6" t="s">
        <v>605</v>
      </c>
      <c r="B6">
        <v>71</v>
      </c>
      <c r="C6">
        <v>33</v>
      </c>
    </row>
    <row r="7" spans="1:6" x14ac:dyDescent="0.2">
      <c r="A7" t="s">
        <v>606</v>
      </c>
      <c r="B7">
        <v>32</v>
      </c>
      <c r="C7">
        <v>25</v>
      </c>
    </row>
    <row r="8" spans="1:6" x14ac:dyDescent="0.2">
      <c r="A8" t="s">
        <v>607</v>
      </c>
      <c r="B8">
        <v>54</v>
      </c>
      <c r="C8">
        <v>36</v>
      </c>
    </row>
    <row r="9" spans="1:6" x14ac:dyDescent="0.2">
      <c r="A9" t="s">
        <v>608</v>
      </c>
      <c r="B9">
        <v>18</v>
      </c>
      <c r="C9">
        <v>35</v>
      </c>
    </row>
    <row r="10" spans="1:6" x14ac:dyDescent="0.2">
      <c r="A10" t="s">
        <v>609</v>
      </c>
      <c r="B10">
        <v>33</v>
      </c>
      <c r="C10">
        <v>49</v>
      </c>
    </row>
    <row r="11" spans="1:6" x14ac:dyDescent="0.2">
      <c r="A11" t="s">
        <v>610</v>
      </c>
      <c r="B11">
        <v>32</v>
      </c>
      <c r="C11">
        <v>39</v>
      </c>
    </row>
    <row r="12" spans="1:6" x14ac:dyDescent="0.2">
      <c r="A12" t="s">
        <v>611</v>
      </c>
      <c r="B12">
        <v>62</v>
      </c>
      <c r="C12">
        <v>40</v>
      </c>
    </row>
    <row r="13" spans="1:6" x14ac:dyDescent="0.2">
      <c r="A13" t="s">
        <v>612</v>
      </c>
      <c r="B13">
        <v>27</v>
      </c>
      <c r="C13">
        <v>42</v>
      </c>
    </row>
    <row r="14" spans="1:6" x14ac:dyDescent="0.2">
      <c r="A14" t="s">
        <v>613</v>
      </c>
      <c r="B14">
        <v>50</v>
      </c>
      <c r="C14">
        <v>29</v>
      </c>
    </row>
    <row r="15" spans="1:6" x14ac:dyDescent="0.2">
      <c r="A15" t="s">
        <v>614</v>
      </c>
      <c r="B15">
        <v>21</v>
      </c>
      <c r="C15">
        <v>21</v>
      </c>
    </row>
    <row r="16" spans="1:6" x14ac:dyDescent="0.2">
      <c r="A16" t="s">
        <v>615</v>
      </c>
      <c r="B16">
        <v>36</v>
      </c>
      <c r="C16">
        <v>25</v>
      </c>
    </row>
    <row r="17" spans="1:3" x14ac:dyDescent="0.2">
      <c r="A17" t="s">
        <v>616</v>
      </c>
      <c r="B17">
        <v>73</v>
      </c>
      <c r="C17">
        <v>48</v>
      </c>
    </row>
    <row r="18" spans="1:3" x14ac:dyDescent="0.2">
      <c r="A18" t="s">
        <v>617</v>
      </c>
      <c r="B18">
        <v>39</v>
      </c>
      <c r="C18">
        <v>0</v>
      </c>
    </row>
    <row r="19" spans="1:3" x14ac:dyDescent="0.2">
      <c r="A19" t="s">
        <v>618</v>
      </c>
      <c r="B19">
        <v>62</v>
      </c>
      <c r="C19">
        <v>14</v>
      </c>
    </row>
    <row r="20" spans="1:3" x14ac:dyDescent="0.2">
      <c r="A20" t="s">
        <v>619</v>
      </c>
      <c r="B20">
        <v>55</v>
      </c>
      <c r="C20">
        <v>11</v>
      </c>
    </row>
    <row r="21" spans="1:3" x14ac:dyDescent="0.2">
      <c r="A21" t="s">
        <v>620</v>
      </c>
      <c r="B21">
        <v>29</v>
      </c>
      <c r="C21">
        <v>20</v>
      </c>
    </row>
    <row r="22" spans="1:3" x14ac:dyDescent="0.2">
      <c r="A22" t="s">
        <v>621</v>
      </c>
      <c r="B22">
        <v>41</v>
      </c>
      <c r="C22">
        <v>2</v>
      </c>
    </row>
    <row r="23" spans="1:3" x14ac:dyDescent="0.2">
      <c r="A23" t="s">
        <v>622</v>
      </c>
      <c r="B23">
        <v>26</v>
      </c>
      <c r="C23">
        <v>25</v>
      </c>
    </row>
    <row r="24" spans="1:3" x14ac:dyDescent="0.2">
      <c r="A24" t="s">
        <v>623</v>
      </c>
      <c r="B24">
        <v>37</v>
      </c>
      <c r="C24">
        <v>4</v>
      </c>
    </row>
    <row r="25" spans="1:3" x14ac:dyDescent="0.2">
      <c r="A25" t="s">
        <v>624</v>
      </c>
      <c r="B25">
        <v>26</v>
      </c>
      <c r="C25">
        <v>6</v>
      </c>
    </row>
    <row r="26" spans="1:3" x14ac:dyDescent="0.2">
      <c r="A26" t="s">
        <v>625</v>
      </c>
      <c r="B26">
        <v>60</v>
      </c>
      <c r="C26">
        <v>5</v>
      </c>
    </row>
    <row r="27" spans="1:3" x14ac:dyDescent="0.2">
      <c r="A27" t="s">
        <v>626</v>
      </c>
      <c r="B27">
        <v>60</v>
      </c>
      <c r="C27">
        <v>36</v>
      </c>
    </row>
    <row r="28" spans="1:3" x14ac:dyDescent="0.2">
      <c r="A28" t="s">
        <v>627</v>
      </c>
      <c r="B28">
        <v>49</v>
      </c>
      <c r="C28">
        <v>5</v>
      </c>
    </row>
    <row r="29" spans="1:3" x14ac:dyDescent="0.2">
      <c r="A29" t="s">
        <v>628</v>
      </c>
      <c r="B29">
        <v>51</v>
      </c>
      <c r="C29">
        <v>32</v>
      </c>
    </row>
    <row r="30" spans="1:3" x14ac:dyDescent="0.2">
      <c r="A30" t="s">
        <v>629</v>
      </c>
      <c r="B30">
        <v>33</v>
      </c>
      <c r="C30">
        <v>0</v>
      </c>
    </row>
    <row r="31" spans="1:3" x14ac:dyDescent="0.2">
      <c r="A31" t="s">
        <v>630</v>
      </c>
      <c r="B31">
        <v>24</v>
      </c>
      <c r="C31">
        <v>13</v>
      </c>
    </row>
    <row r="32" spans="1:3" x14ac:dyDescent="0.2">
      <c r="A32" t="s">
        <v>631</v>
      </c>
      <c r="B32">
        <v>83</v>
      </c>
      <c r="C32">
        <v>37</v>
      </c>
    </row>
    <row r="33" spans="1:3" x14ac:dyDescent="0.2">
      <c r="A33" t="s">
        <v>632</v>
      </c>
      <c r="B33">
        <v>40</v>
      </c>
      <c r="C33">
        <v>32</v>
      </c>
    </row>
    <row r="34" spans="1:3" x14ac:dyDescent="0.2">
      <c r="A34" t="s">
        <v>633</v>
      </c>
      <c r="B34">
        <v>44</v>
      </c>
      <c r="C34">
        <v>4</v>
      </c>
    </row>
    <row r="35" spans="1:3" x14ac:dyDescent="0.2">
      <c r="A35" t="s">
        <v>634</v>
      </c>
      <c r="B35">
        <v>77</v>
      </c>
      <c r="C35">
        <v>11</v>
      </c>
    </row>
    <row r="36" spans="1:3" x14ac:dyDescent="0.2">
      <c r="A36" t="s">
        <v>635</v>
      </c>
      <c r="B36">
        <v>57</v>
      </c>
      <c r="C36">
        <v>22</v>
      </c>
    </row>
    <row r="37" spans="1:3" x14ac:dyDescent="0.2">
      <c r="A37" t="s">
        <v>636</v>
      </c>
      <c r="B37">
        <v>34</v>
      </c>
      <c r="C37">
        <v>27</v>
      </c>
    </row>
    <row r="38" spans="1:3" x14ac:dyDescent="0.2">
      <c r="A38" t="s">
        <v>637</v>
      </c>
      <c r="B38">
        <v>40</v>
      </c>
      <c r="C38">
        <v>32</v>
      </c>
    </row>
    <row r="39" spans="1:3" x14ac:dyDescent="0.2">
      <c r="A39" t="s">
        <v>638</v>
      </c>
      <c r="B39">
        <v>63</v>
      </c>
      <c r="C39">
        <v>27</v>
      </c>
    </row>
    <row r="40" spans="1:3" x14ac:dyDescent="0.2">
      <c r="A40" t="s">
        <v>639</v>
      </c>
      <c r="B40">
        <v>66</v>
      </c>
      <c r="C40">
        <v>16</v>
      </c>
    </row>
    <row r="41" spans="1:3" x14ac:dyDescent="0.2">
      <c r="A41" t="s">
        <v>640</v>
      </c>
      <c r="B41">
        <v>51</v>
      </c>
      <c r="C41">
        <v>0</v>
      </c>
    </row>
    <row r="42" spans="1:3" x14ac:dyDescent="0.2">
      <c r="A42" t="s">
        <v>641</v>
      </c>
      <c r="B42">
        <v>47</v>
      </c>
      <c r="C42">
        <v>17</v>
      </c>
    </row>
    <row r="43" spans="1:3" x14ac:dyDescent="0.2">
      <c r="A43" t="s">
        <v>642</v>
      </c>
      <c r="B43">
        <v>78</v>
      </c>
      <c r="C43">
        <v>7</v>
      </c>
    </row>
    <row r="44" spans="1:3" x14ac:dyDescent="0.2">
      <c r="A44" t="s">
        <v>643</v>
      </c>
      <c r="B44">
        <v>41</v>
      </c>
      <c r="C44">
        <v>38</v>
      </c>
    </row>
    <row r="45" spans="1:3" x14ac:dyDescent="0.2">
      <c r="A45" t="s">
        <v>644</v>
      </c>
      <c r="B45">
        <v>64</v>
      </c>
      <c r="C45">
        <v>31</v>
      </c>
    </row>
    <row r="46" spans="1:3" x14ac:dyDescent="0.2">
      <c r="A46" t="s">
        <v>645</v>
      </c>
      <c r="B46">
        <v>79</v>
      </c>
      <c r="C46">
        <v>20</v>
      </c>
    </row>
    <row r="47" spans="1:3" x14ac:dyDescent="0.2">
      <c r="A47" t="s">
        <v>646</v>
      </c>
      <c r="B47">
        <v>93</v>
      </c>
      <c r="C47">
        <v>43</v>
      </c>
    </row>
    <row r="48" spans="1:3" x14ac:dyDescent="0.2">
      <c r="A48" t="s">
        <v>647</v>
      </c>
      <c r="B48">
        <v>46</v>
      </c>
      <c r="C48">
        <v>49</v>
      </c>
    </row>
    <row r="49" spans="1:3" x14ac:dyDescent="0.2">
      <c r="A49" t="s">
        <v>648</v>
      </c>
      <c r="B49">
        <v>42</v>
      </c>
      <c r="C49">
        <v>36</v>
      </c>
    </row>
    <row r="50" spans="1:3" x14ac:dyDescent="0.2">
      <c r="A50" t="s">
        <v>649</v>
      </c>
      <c r="B50">
        <v>68</v>
      </c>
      <c r="C50">
        <v>17</v>
      </c>
    </row>
    <row r="51" spans="1:3" x14ac:dyDescent="0.2">
      <c r="A51" t="s">
        <v>650</v>
      </c>
      <c r="B51">
        <v>75</v>
      </c>
      <c r="C51">
        <v>18</v>
      </c>
    </row>
    <row r="52" spans="1:3" x14ac:dyDescent="0.2">
      <c r="A52" t="s">
        <v>651</v>
      </c>
      <c r="B52">
        <v>25</v>
      </c>
      <c r="C52">
        <v>19</v>
      </c>
    </row>
    <row r="53" spans="1:3" x14ac:dyDescent="0.2">
      <c r="A53" t="s">
        <v>652</v>
      </c>
      <c r="B53">
        <v>9</v>
      </c>
      <c r="C53">
        <v>24</v>
      </c>
    </row>
    <row r="54" spans="1:3" x14ac:dyDescent="0.2">
      <c r="A54" s="59" t="str">
        <f>"总时长："&amp;TEXT(SUM(B:B)/1440+SUM(C:C)/86400,"[h]:mm:ss")</f>
        <v>总时长：42:01:10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2AE2-1435-4D63-A4A0-EC2A97CE768E}">
  <dimension ref="A1:F2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22" sqref="C22"/>
    </sheetView>
  </sheetViews>
  <sheetFormatPr defaultRowHeight="14.25" x14ac:dyDescent="0.2"/>
  <cols>
    <col min="1" max="1" width="45" bestFit="1" customWidth="1"/>
  </cols>
  <sheetData>
    <row r="1" spans="1:6" ht="19.5" x14ac:dyDescent="0.2">
      <c r="A1" s="13" t="s">
        <v>35</v>
      </c>
      <c r="B1" s="14" t="s">
        <v>36</v>
      </c>
      <c r="C1" s="14" t="s">
        <v>37</v>
      </c>
      <c r="D1" s="15" t="s">
        <v>53</v>
      </c>
      <c r="F1" s="79" t="s">
        <v>740</v>
      </c>
    </row>
    <row r="2" spans="1:6" x14ac:dyDescent="0.2">
      <c r="A2" s="61" t="s">
        <v>720</v>
      </c>
      <c r="B2">
        <v>3</v>
      </c>
      <c r="C2">
        <v>34</v>
      </c>
    </row>
    <row r="3" spans="1:6" x14ac:dyDescent="0.2">
      <c r="A3" s="61" t="s">
        <v>721</v>
      </c>
      <c r="B3">
        <v>17</v>
      </c>
      <c r="C3">
        <v>2</v>
      </c>
    </row>
    <row r="4" spans="1:6" x14ac:dyDescent="0.2">
      <c r="A4" s="61" t="s">
        <v>722</v>
      </c>
      <c r="B4">
        <v>9</v>
      </c>
      <c r="C4">
        <v>41</v>
      </c>
    </row>
    <row r="5" spans="1:6" x14ac:dyDescent="0.2">
      <c r="A5" s="61" t="s">
        <v>723</v>
      </c>
      <c r="B5">
        <v>17</v>
      </c>
      <c r="C5">
        <v>44</v>
      </c>
    </row>
    <row r="6" spans="1:6" x14ac:dyDescent="0.2">
      <c r="A6" s="61" t="s">
        <v>724</v>
      </c>
      <c r="B6">
        <v>32</v>
      </c>
      <c r="C6">
        <v>30</v>
      </c>
    </row>
    <row r="7" spans="1:6" x14ac:dyDescent="0.2">
      <c r="A7" s="61" t="s">
        <v>725</v>
      </c>
      <c r="B7">
        <v>31</v>
      </c>
      <c r="C7">
        <v>45</v>
      </c>
    </row>
    <row r="8" spans="1:6" x14ac:dyDescent="0.2">
      <c r="A8" s="61" t="s">
        <v>726</v>
      </c>
      <c r="B8">
        <v>19</v>
      </c>
      <c r="C8">
        <v>0</v>
      </c>
    </row>
    <row r="9" spans="1:6" x14ac:dyDescent="0.2">
      <c r="A9" s="61" t="s">
        <v>727</v>
      </c>
      <c r="B9">
        <v>20</v>
      </c>
      <c r="C9">
        <v>48</v>
      </c>
    </row>
    <row r="10" spans="1:6" x14ac:dyDescent="0.2">
      <c r="A10" s="61" t="s">
        <v>728</v>
      </c>
      <c r="B10">
        <v>11</v>
      </c>
      <c r="C10">
        <v>2</v>
      </c>
    </row>
    <row r="11" spans="1:6" x14ac:dyDescent="0.2">
      <c r="A11" s="61" t="s">
        <v>729</v>
      </c>
      <c r="B11">
        <v>28</v>
      </c>
      <c r="C11">
        <v>37</v>
      </c>
    </row>
    <row r="12" spans="1:6" x14ac:dyDescent="0.2">
      <c r="A12" s="61" t="s">
        <v>730</v>
      </c>
      <c r="B12">
        <v>27</v>
      </c>
      <c r="C12">
        <v>32</v>
      </c>
    </row>
    <row r="13" spans="1:6" x14ac:dyDescent="0.2">
      <c r="A13" s="61" t="s">
        <v>731</v>
      </c>
      <c r="B13">
        <v>15</v>
      </c>
      <c r="C13">
        <v>11</v>
      </c>
    </row>
    <row r="14" spans="1:6" x14ac:dyDescent="0.2">
      <c r="A14" s="61" t="s">
        <v>732</v>
      </c>
      <c r="B14">
        <v>40</v>
      </c>
      <c r="C14">
        <v>31</v>
      </c>
    </row>
    <row r="15" spans="1:6" x14ac:dyDescent="0.2">
      <c r="A15" s="61" t="s">
        <v>733</v>
      </c>
      <c r="B15">
        <v>20</v>
      </c>
      <c r="C15">
        <v>33</v>
      </c>
    </row>
    <row r="16" spans="1:6" x14ac:dyDescent="0.2">
      <c r="A16" s="61" t="s">
        <v>734</v>
      </c>
      <c r="B16">
        <v>16</v>
      </c>
      <c r="C16">
        <v>58</v>
      </c>
    </row>
    <row r="17" spans="1:3" x14ac:dyDescent="0.2">
      <c r="A17" s="61" t="s">
        <v>735</v>
      </c>
      <c r="B17">
        <v>36</v>
      </c>
      <c r="C17">
        <v>57</v>
      </c>
    </row>
    <row r="18" spans="1:3" x14ac:dyDescent="0.2">
      <c r="A18" s="61" t="s">
        <v>736</v>
      </c>
      <c r="B18">
        <v>30</v>
      </c>
      <c r="C18">
        <v>4</v>
      </c>
    </row>
    <row r="19" spans="1:3" x14ac:dyDescent="0.2">
      <c r="A19" s="61" t="s">
        <v>737</v>
      </c>
      <c r="B19">
        <v>32</v>
      </c>
      <c r="C19">
        <v>40</v>
      </c>
    </row>
    <row r="20" spans="1:3" x14ac:dyDescent="0.2">
      <c r="A20" s="61" t="s">
        <v>738</v>
      </c>
      <c r="B20">
        <v>37</v>
      </c>
      <c r="C20">
        <v>20</v>
      </c>
    </row>
    <row r="21" spans="1:3" x14ac:dyDescent="0.2">
      <c r="A21" s="61" t="s">
        <v>739</v>
      </c>
      <c r="B21">
        <v>15</v>
      </c>
      <c r="C21">
        <v>49</v>
      </c>
    </row>
    <row r="22" spans="1:3" x14ac:dyDescent="0.2">
      <c r="A22" s="58" t="str">
        <f>"总时长："&amp;TEXT(SUM(B:B)/1440+SUM(C:C)/86400,"[h]:mm:ss")</f>
        <v>总时长：7:45:18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1HTML_scratch</vt:lpstr>
      <vt:lpstr>2HTML_guide</vt:lpstr>
      <vt:lpstr>3HTML_end</vt:lpstr>
      <vt:lpstr>4HTML_proj</vt:lpstr>
      <vt:lpstr>5JS_intro</vt:lpstr>
      <vt:lpstr>6JS_end</vt:lpstr>
      <vt:lpstr>7JS_proj</vt:lpstr>
      <vt:lpstr>8H5CSS3</vt:lpstr>
      <vt:lpstr>9JS_ES6</vt:lpstr>
      <vt:lpstr>10Coder_proj</vt:lpstr>
      <vt:lpstr>11JS_dtl_DIY</vt:lpstr>
      <vt:lpstr>12Network</vt:lpstr>
      <vt:lpstr>13Git</vt:lpstr>
      <vt:lpstr>14ThirdLib</vt:lpstr>
      <vt:lpstr>15Build</vt:lpstr>
      <vt:lpstr>16Vue_intro</vt:lpstr>
      <vt:lpstr>17Vue_scratch</vt:lpstr>
      <vt:lpstr>18Webpack</vt:lpstr>
      <vt:lpstr>19Vue_comp</vt:lpstr>
      <vt:lpstr>Vue3</vt:lpstr>
      <vt:lpstr>Vue3_new</vt:lpstr>
      <vt:lpstr>NodeJS</vt:lpstr>
      <vt:lpstr>Lowcode_proj</vt:lpstr>
      <vt:lpstr>Miniapp</vt:lpstr>
      <vt:lpstr>TS_complete</vt:lpstr>
      <vt:lpstr>TS_basic</vt:lpstr>
      <vt:lpstr>TS_pro</vt:lpstr>
      <vt:lpstr>Echarts</vt:lpstr>
      <vt:lpstr>BPMN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 Winter</dc:creator>
  <cp:lastModifiedBy>Safe Winter</cp:lastModifiedBy>
  <dcterms:created xsi:type="dcterms:W3CDTF">2025-03-25T18:21:32Z</dcterms:created>
  <dcterms:modified xsi:type="dcterms:W3CDTF">2026-03-08T14:53:51Z</dcterms:modified>
</cp:coreProperties>
</file>