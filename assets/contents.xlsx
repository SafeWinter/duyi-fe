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F:\Courses\duyiFe\assets\"/>
    </mc:Choice>
  </mc:AlternateContent>
  <xr:revisionPtr revIDLastSave="0" documentId="13_ncr:1_{2CE73BD0-D5C4-4A8C-984D-BDFAACC409E4}" xr6:coauthVersionLast="47" xr6:coauthVersionMax="47" xr10:uidLastSave="{00000000-0000-0000-0000-000000000000}"/>
  <bookViews>
    <workbookView xWindow="4005" yWindow="2445" windowWidth="21600" windowHeight="11385" tabRatio="722" firstSheet="14" activeTab="16" xr2:uid="{977D219B-3D5A-4B74-BC43-A61DD328A31A}"/>
  </bookViews>
  <sheets>
    <sheet name="1HTML_scratch" sheetId="9" r:id="rId1"/>
    <sheet name="2HTML_guide" sheetId="8" r:id="rId2"/>
    <sheet name="3HTML_end" sheetId="7" r:id="rId3"/>
    <sheet name="4HTML_proj" sheetId="10" r:id="rId4"/>
    <sheet name="5JS_intro" sheetId="6" r:id="rId5"/>
    <sheet name="6JS_end" sheetId="1" r:id="rId6"/>
    <sheet name="7JS_proj" sheetId="2" r:id="rId7"/>
    <sheet name="8H5CSS3" sheetId="3" r:id="rId8"/>
    <sheet name="9JS_ES6" sheetId="4" r:id="rId9"/>
    <sheet name="10JS_dtl" sheetId="18" r:id="rId10"/>
    <sheet name="11Coder_proj" sheetId="5" r:id="rId11"/>
    <sheet name="12Network" sheetId="11" r:id="rId12"/>
    <sheet name="13Git" sheetId="12" r:id="rId13"/>
    <sheet name="14ThirdLib" sheetId="13" r:id="rId14"/>
    <sheet name="15Build" sheetId="14" r:id="rId15"/>
    <sheet name="16Vue_scratch" sheetId="19" r:id="rId16"/>
    <sheet name="17Vue_intro" sheetId="15" r:id="rId17"/>
    <sheet name="18Vue_comp" sheetId="16" r:id="rId18"/>
    <sheet name="19Miniapp" sheetId="17" r:id="rId19"/>
    <sheet name="20Echarts" sheetId="20" r:id="rId20"/>
    <sheet name="21Webpack" sheetId="21" r:id="rId21"/>
    <sheet name="22BPMN" sheetId="22" r:id="rId2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3" i="22" l="1"/>
  <c r="A69" i="21"/>
  <c r="A54" i="20"/>
  <c r="G89" i="6"/>
  <c r="G99" i="6"/>
  <c r="A10" i="3"/>
  <c r="A11" i="14"/>
  <c r="A10" i="13"/>
  <c r="A10" i="12"/>
  <c r="A16" i="11"/>
  <c r="F36" i="1"/>
  <c r="F32" i="1"/>
  <c r="F25" i="1"/>
  <c r="F20" i="1"/>
  <c r="F14" i="1"/>
  <c r="F8" i="1"/>
  <c r="A21" i="19"/>
  <c r="A37" i="16"/>
  <c r="A46" i="15"/>
  <c r="A114" i="18"/>
  <c r="A51" i="17"/>
  <c r="A5" i="5"/>
  <c r="A12" i="4"/>
  <c r="A30" i="2"/>
  <c r="A37" i="1"/>
  <c r="A83" i="6"/>
  <c r="A47" i="9"/>
  <c r="A89" i="8"/>
  <c r="A9" i="7"/>
  <c r="A17" i="10"/>
</calcChain>
</file>

<file path=xl/sharedStrings.xml><?xml version="1.0" encoding="utf-8"?>
<sst xmlns="http://schemas.openxmlformats.org/spreadsheetml/2006/main" count="848" uniqueCount="741">
  <si>
    <t>1. 环境准备</t>
  </si>
  <si>
    <t>2. 知识回顾-数据的表达1</t>
  </si>
  <si>
    <t>3. 知识回顾-数据的表达2</t>
  </si>
  <si>
    <t>4. 知识回顾-数据的表达3</t>
  </si>
  <si>
    <t>5. 知识回顾-数据的运算</t>
  </si>
  <si>
    <t>7. 知识回顾-流程的切割</t>
  </si>
  <si>
    <t>8. 核心概念-数据的存储和传递</t>
  </si>
  <si>
    <t>9. 核心概念-数据的作用域</t>
  </si>
  <si>
    <t>10. 核心概念-全局对象</t>
  </si>
  <si>
    <t>11. 核心概念-构造函数</t>
  </si>
  <si>
    <t>12. 核心概念-原型</t>
  </si>
  <si>
    <t>13. 核心概念-这是啥？</t>
  </si>
  <si>
    <t>14. 核心概念-原型链</t>
  </si>
  <si>
    <t>15. 核心概念-继承</t>
  </si>
  <si>
    <t>16. 标准库-数字和字符串</t>
  </si>
  <si>
    <t>17. 标准库-数学</t>
  </si>
  <si>
    <t>18. 标准库-日期</t>
  </si>
  <si>
    <t>19. 标准库-数组</t>
  </si>
  <si>
    <t>20. WebAPI-BOM</t>
  </si>
  <si>
    <t>21. WebAPI-玩转DOM</t>
  </si>
  <si>
    <t>22. WebAPI-事件</t>
  </si>
  <si>
    <t>23. WebAPI-事件默认行为</t>
  </si>
  <si>
    <t>24. WebAPI-DOM尺寸和位置</t>
  </si>
  <si>
    <t>25. WebAPI-事件传播机制</t>
  </si>
  <si>
    <t>26. 技巧-在循环中注册事件</t>
  </si>
  <si>
    <t>27. 技巧-回调函数</t>
  </si>
  <si>
    <t>28. 技巧-函数防抖</t>
  </si>
  <si>
    <t>29. 标准库-正则表达式</t>
  </si>
  <si>
    <t>30. 核心概念-浏览器渲染原理</t>
  </si>
  <si>
    <t>31. 核心概念-异常</t>
  </si>
  <si>
    <t>32. 技巧-断点调试</t>
  </si>
  <si>
    <t>6. 知识回顾-数据的流程1</t>
    <phoneticPr fontId="1" type="noConversion"/>
  </si>
  <si>
    <t>6. 知识回顾-数据的流程2</t>
  </si>
  <si>
    <t>6. 知识回顾-数据的流程3</t>
  </si>
  <si>
    <t>6. 知识回顾-数据的流程4</t>
  </si>
  <si>
    <t>Title</t>
    <phoneticPr fontId="1" type="noConversion"/>
  </si>
  <si>
    <t>Minutes</t>
    <phoneticPr fontId="1" type="noConversion"/>
  </si>
  <si>
    <t>Seconds</t>
    <phoneticPr fontId="1" type="noConversion"/>
  </si>
  <si>
    <t>day</t>
    <phoneticPr fontId="1" type="noConversion"/>
  </si>
  <si>
    <t>01. 文字滚动效果 - 袁进</t>
  </si>
  <si>
    <t>02. 手风琴效果 - 袁进</t>
  </si>
  <si>
    <t>03. 动态排序表格 - 韩刚</t>
  </si>
  <si>
    <t>04. js实现三级联动效果 - 丁永志</t>
  </si>
  <si>
    <t>05. 腾讯视频重磅推荐模块 - 丁永志</t>
  </si>
  <si>
    <t>06. 图片放大镜 - 丁永志</t>
  </si>
  <si>
    <t>07. 积分抽奖效果 - 韩刚</t>
  </si>
  <si>
    <t>08. JS实现倒计时特效 - 韩刚</t>
  </si>
  <si>
    <t>09. 无缝轮播图 - 袁进</t>
  </si>
  <si>
    <t>10. 图片瀑布流 - 谢杰</t>
  </si>
  <si>
    <t>11. 分页插件 - 谢杰</t>
  </si>
  <si>
    <t>12. 五子棋游戏 - 谢杰</t>
  </si>
  <si>
    <t>13. 读心术小游戏 - 谢杰</t>
  </si>
  <si>
    <t>14. 图片拖动验证 - 谢杰</t>
  </si>
  <si>
    <t>Day</t>
    <phoneticPr fontId="1" type="noConversion"/>
  </si>
  <si>
    <t>01. CSS3视觉</t>
  </si>
  <si>
    <t>02. CSS3过渡和动画</t>
  </si>
  <si>
    <t>03. CSS3布局</t>
  </si>
  <si>
    <t>04. CSS3更多知识</t>
  </si>
  <si>
    <t>05. 网页简历</t>
  </si>
  <si>
    <t>06. HTML5文档</t>
  </si>
  <si>
    <t>07. HTML5API</t>
  </si>
  <si>
    <t>08. H5综合练习</t>
  </si>
  <si>
    <t>01. 零碎的改动</t>
  </si>
  <si>
    <t>02. 数组</t>
  </si>
  <si>
    <t>03. 对象</t>
  </si>
  <si>
    <t>04. 函数</t>
  </si>
  <si>
    <t>05. 事件循环</t>
  </si>
  <si>
    <t>06. Promise基础</t>
  </si>
  <si>
    <t>07. Promise的链式调用</t>
  </si>
  <si>
    <t>08. Promise的静态方法</t>
  </si>
  <si>
    <t>09. async和await</t>
  </si>
  <si>
    <t>10. Promise相关面试题</t>
  </si>
  <si>
    <t>01. 歌词滚动</t>
  </si>
  <si>
    <t>02. 王者荣耀官网英雄查询</t>
  </si>
  <si>
    <t>03. 美团省市级联</t>
  </si>
  <si>
    <t>01. HTML+CSS开发环境准备（4节） (4小节)</t>
  </si>
  <si>
    <t>02. HTML元素及路径 1（6节） (6小节)</t>
  </si>
  <si>
    <t>03. HTML元素及路径 2（5节） (5小节)</t>
  </si>
  <si>
    <t>04. HTML百度新闻案例练习（3节） (2小节)</t>
  </si>
  <si>
    <t>05. CSS选择器、盒模型添加样式 1（7节） (7小节)</t>
  </si>
  <si>
    <t>06. CSS选择器、盒模型添加样式 2（4节） (4小节)</t>
  </si>
  <si>
    <t>07. CSS基础 二（10节） (10小节)</t>
  </si>
  <si>
    <t>08. HTML进阶（7节） (7小节)</t>
  </si>
  <si>
    <t>09. CSS进阶 1（10节） (10小节)</t>
  </si>
  <si>
    <t>10. CSS进阶 2（5节） (5小节)</t>
  </si>
  <si>
    <t>11. 项目实战-豆瓣首页 1（10节） (10小节)</t>
  </si>
  <si>
    <t>12. 项目实战-豆瓣首页 2（2节） (2小节)</t>
  </si>
  <si>
    <t>13. 结语（2节） (2小节)</t>
  </si>
  <si>
    <t>1-1. 课程概述</t>
  </si>
  <si>
    <t>1-2. HTML和CSS概述</t>
  </si>
  <si>
    <t>1-3.学习须知</t>
  </si>
  <si>
    <t>1-4. 开发环境准备</t>
  </si>
  <si>
    <t>2-1. 第一个网页</t>
  </si>
  <si>
    <t>2-2. 语义化</t>
  </si>
  <si>
    <t>2-3.袁老师有话要说</t>
  </si>
  <si>
    <t>2-4. 文本元素</t>
  </si>
  <si>
    <t>2-5. HTML实体</t>
  </si>
  <si>
    <t>2-6. a元素</t>
  </si>
  <si>
    <t>3-1. 路径的写法</t>
  </si>
  <si>
    <t>3-2. 图片元素</t>
  </si>
  <si>
    <t>3-3. 多媒体元素</t>
  </si>
  <si>
    <t>3-4. 列表元素</t>
  </si>
  <si>
    <t>3-5. 容器元素</t>
  </si>
  <si>
    <t>4-1. 元素包含关系</t>
  </si>
  <si>
    <t>4-2. 练习-百度新闻</t>
  </si>
  <si>
    <t>5-1. 为网页添加样式</t>
  </si>
  <si>
    <t>5-2. 常见样式声明</t>
  </si>
  <si>
    <t>5-3. 选择器</t>
  </si>
  <si>
    <t>5-4. 层叠上次学习</t>
  </si>
  <si>
    <t>5-5. 继承</t>
  </si>
  <si>
    <t>5-6. 属性值的计算过程</t>
  </si>
  <si>
    <t>5-7. 盒模型mp4</t>
  </si>
  <si>
    <t>6-1. 盒模型应用</t>
  </si>
  <si>
    <t>6-2.学习须知</t>
  </si>
  <si>
    <t>6-3. 行盒盒模型</t>
  </si>
  <si>
    <t>6-4. 常规流</t>
  </si>
  <si>
    <t>7-1. 常规流练习</t>
  </si>
  <si>
    <t>7-2. 浮动</t>
  </si>
  <si>
    <t>7-3. 浮动练习</t>
  </si>
  <si>
    <t>7-4. 定位</t>
  </si>
  <si>
    <t>7-5. 定位练习1 - 二级菜单</t>
  </si>
  <si>
    <t>7-6. 定位练习2-弹出层</t>
  </si>
  <si>
    <t>7-7. 定位练习3-轮播图</t>
  </si>
  <si>
    <t>7-8. 更多的选择器</t>
  </si>
  <si>
    <t>7-9. 更多的样式</t>
  </si>
  <si>
    <t>7-10. 背景图练习[片尾]</t>
  </si>
  <si>
    <t>8-1. iframe元素</t>
  </si>
  <si>
    <t>8-2. 在页面中使用flash</t>
  </si>
  <si>
    <t>8-3. 表单元素</t>
  </si>
  <si>
    <t>8-4. 美化表单元素</t>
  </si>
  <si>
    <t>8-5. 表单练习</t>
  </si>
  <si>
    <t>8-6. 表格元素[补充]</t>
  </si>
  <si>
    <t>8-7.其他元素[补充]</t>
  </si>
  <si>
    <t>9-1. @规则</t>
  </si>
  <si>
    <t>9-2. web字体和图标</t>
  </si>
  <si>
    <t>9-3. 块级格式化上下文</t>
  </si>
  <si>
    <t>9-4. 布局[2606]</t>
  </si>
  <si>
    <t>9-5. [扩展]浮动的细节规则</t>
  </si>
  <si>
    <t>9-6. [扩展]行高的取值</t>
  </si>
  <si>
    <t>9-7. [扩展]body的背景</t>
  </si>
  <si>
    <t>9-8. 行盒的垂直对齐</t>
  </si>
  <si>
    <t>9-9. [扩展]参考线-深入理解字体</t>
  </si>
  <si>
    <t>9-10. 堆叠上下文[片尾]</t>
  </si>
  <si>
    <t>10-1. [扩展]svg</t>
  </si>
  <si>
    <t>10-2. [扩展]数据链接</t>
  </si>
  <si>
    <t>10-3 浏览器兼容性</t>
  </si>
  <si>
    <t>10-4 居中总结</t>
  </si>
  <si>
    <t>10-5 样式补充</t>
  </si>
  <si>
    <t>11-1. [重要]项目开发注意事项</t>
  </si>
  <si>
    <t>11-2 工程搭建</t>
  </si>
  <si>
    <t>11-3 制作页面头部</t>
  </si>
  <si>
    <t>11-4 登录注册区域</t>
  </si>
  <si>
    <t>11-5 横幅区域</t>
  </si>
  <si>
    <t>11-6 热点</t>
  </si>
  <si>
    <t>11-7 豆瓣时间和视频</t>
  </si>
  <si>
    <t>11-8 豆瓣电影</t>
  </si>
  <si>
    <t>11-9 小组和读书</t>
  </si>
  <si>
    <t>11-10 豆瓣音乐</t>
  </si>
  <si>
    <t>12-1 豆品和同城</t>
  </si>
  <si>
    <t>12-2 页脚-完结撒花</t>
  </si>
  <si>
    <t>13-1.结语</t>
  </si>
  <si>
    <t>13-2.短小而重要的一节</t>
  </si>
  <si>
    <t>01. 前端行业发展史（1节） (1小节)</t>
  </si>
  <si>
    <t>02. 课前须知及「编辑器」使用方法（1节） (1小节)</t>
  </si>
  <si>
    <t>03. HTML初级标签高级标签（3节） (3小节)</t>
  </si>
  <si>
    <t>04. CSS选择器、盒模型在企业开发中应用（4节） (4小节)</t>
  </si>
  <si>
    <t>05. html - css lesson3高级篇（3节） (3小节)</t>
  </si>
  <si>
    <t>06. html - css lesson4升华篇（4节） (4小节)</t>
  </si>
  <si>
    <t>07. IT行业职业发展之路（2节） (2小节)</t>
  </si>
  <si>
    <t>08. 渡一风采（1节） (1小节)</t>
  </si>
  <si>
    <t>09. 淘宝静态页面 一（10节） (10小节)</t>
  </si>
  <si>
    <t>10. 淘宝静态页面 二（6节） (6小节)</t>
  </si>
  <si>
    <t>1.课程前导</t>
  </si>
  <si>
    <t>1.课前须知及「编辑器」使用方法</t>
  </si>
  <si>
    <t>1.html初级篇-基础标签</t>
  </si>
  <si>
    <t>2.html进阶篇-高级标签</t>
  </si>
  <si>
    <t>3.学员必听</t>
  </si>
  <si>
    <t>1.css初级篇-css引入css基础选择器选择器权重</t>
  </si>
  <si>
    <t>2.css复杂选择器，权重计算问题，css基础属性</t>
  </si>
  <si>
    <t>3.成哥有话说</t>
  </si>
  <si>
    <t>4.css企业开发经验，习惯，盒子模型，层模型</t>
  </si>
  <si>
    <t>1.实例：居中五环，两栏布局，两个常见bug，BFC</t>
  </si>
  <si>
    <t>2.简短而重要的环节</t>
  </si>
  <si>
    <t>3.css高级篇-包裹浮动元素，开发实例，经验</t>
  </si>
  <si>
    <t>1.文字溢出处理，背景图片处理，企业开发经验</t>
  </si>
  <si>
    <t>2.一个特别的辅助工具</t>
  </si>
  <si>
    <t>3.css升华篇-css要点补充说明</t>
  </si>
  <si>
    <t>4.css升华篇-项目演练</t>
  </si>
  <si>
    <t>1.大学篇</t>
  </si>
  <si>
    <t>2.职业篇</t>
  </si>
  <si>
    <t>1.桃李不言，下自成蹊</t>
  </si>
  <si>
    <t>1.项目前准备</t>
  </si>
  <si>
    <t>2.基本结构与样式</t>
  </si>
  <si>
    <t>3.头部信息结构</t>
  </si>
  <si>
    <t>4.头部信息样式与自定义图标</t>
  </si>
  <si>
    <t>5.头部广告结构与样式</t>
  </si>
  <si>
    <t>6.头部搜索结构与样式</t>
  </si>
  <si>
    <t>7.导航结构与样式</t>
  </si>
  <si>
    <t>8.首屏内容结构</t>
  </si>
  <si>
    <t>9.侧边导航结构与样式</t>
  </si>
  <si>
    <t>10.图片区域结构与样式</t>
  </si>
  <si>
    <t>1.淘宝头条结构与样式</t>
  </si>
  <si>
    <t>2.用户区域结构与样式</t>
  </si>
  <si>
    <t>3.公告区域结构与样式</t>
  </si>
  <si>
    <t>4.图标区域结构与样式</t>
  </si>
  <si>
    <t>5.有好货爱逛街结构与样式</t>
  </si>
  <si>
    <t>6.右侧固定导航结构与样式上次学习</t>
  </si>
  <si>
    <t>1. 补充重要知识</t>
  </si>
  <si>
    <t>2. 表单进阶-HTML</t>
  </si>
  <si>
    <t>3. 表单进阶-CSS</t>
  </si>
  <si>
    <t>4. 精灵图</t>
  </si>
  <si>
    <t>5. 绝对定位收官</t>
  </si>
  <si>
    <t>6. 属性值的计算过程</t>
  </si>
  <si>
    <t>7. 拓展知识</t>
  </si>
  <si>
    <t>01. 课程前导（1节） (1小节)</t>
  </si>
  <si>
    <t>03.js介绍,入门,js引入,变量,值类型,运算符（3节） (3小节)</t>
  </si>
  <si>
    <t>04. 比较运算符，逻辑运算符，条件语句，循环语句（3节） (3小节)</t>
  </si>
  <si>
    <t>05. 条件语句，初识引用值，typeof，类型转换（2节） (2小节)</t>
  </si>
  <si>
    <t>06. 函数，小练习，初识作用域（2节） (2小节)</t>
  </si>
  <si>
    <t>07. 递归，预编译（3节） (3小节)</t>
  </si>
  <si>
    <t>08. 神秘的课程（1节） (1小节)</t>
  </si>
  <si>
    <t>09. 作用域、作用域链精解，立即执行函数，闭包（4节） (4小节)</t>
  </si>
  <si>
    <t>10. 对象，包装类（2节） (2小节)</t>
  </si>
  <si>
    <t>11. 原型，原型链，call/apply（3节） (3小节)</t>
  </si>
  <si>
    <t>12. 继承模式，命名空间，对象枚举（2节） (2小节)</t>
  </si>
  <si>
    <t>13. this，笔试真题讲解（2节） (2小节)</t>
  </si>
  <si>
    <t>14. 实参列表，克隆，三目运算符，数组，类数组（3节） (3小节)</t>
  </si>
  <si>
    <t>15. 渡一风采（1节） (1小节)</t>
  </si>
  <si>
    <t>16. 数组去重，习题，答疑复习（2节） (2小节)</t>
  </si>
  <si>
    <t>17. try..catch，es5标准模式，dom（2节） (2小节)</t>
  </si>
  <si>
    <t>18. dom选择器，节点类型（1节） (1小节)</t>
  </si>
  <si>
    <t>19. dom继承树，dom基本操作（3节） (3小节)</t>
  </si>
  <si>
    <t>20. date对象，定时器（3节） (3小节)</t>
  </si>
  <si>
    <t>21. 获取窗口属性，获取dom尺寸，脚本化CSS（2节） (2小节)</t>
  </si>
  <si>
    <t>22. 事件1（3节） (2小节)</t>
  </si>
  <si>
    <t>23. 事件2（1节） (1小节)</t>
  </si>
  <si>
    <t>24. json，异步加载，时间线（2节） (2小节)</t>
  </si>
  <si>
    <t>25. 正则表达式（2节） (2小节)</t>
  </si>
  <si>
    <t>26. IT行业职业发展之路（2节） (2小节)</t>
  </si>
  <si>
    <t>1.javascript 浏览器发展史</t>
  </si>
  <si>
    <t>2.js介绍,入门,js引入,变量,值类型,运算符</t>
  </si>
  <si>
    <t>1.比较运算符,逻辑运算符</t>
  </si>
  <si>
    <t>2.条件语句,循环语句</t>
  </si>
  <si>
    <t>1.条件语句补充，初识引用值</t>
  </si>
  <si>
    <t>2.typeof，类型转换</t>
  </si>
  <si>
    <t>1.函数，小练习，初识作用域（上）</t>
  </si>
  <si>
    <t>2.函数，小练习，初识作用域（下）</t>
  </si>
  <si>
    <t>1.递归，预编译（上）</t>
  </si>
  <si>
    <t>3.递归，预编译（下）</t>
  </si>
  <si>
    <t>1.神秘的课程</t>
  </si>
  <si>
    <t>1.作用域、作用域链精解</t>
  </si>
  <si>
    <t>2.闭包、立即执行函数</t>
  </si>
  <si>
    <t>3.闭包（下）</t>
  </si>
  <si>
    <t>4.闭包精细版</t>
  </si>
  <si>
    <t>1.对象，包装类（上）</t>
  </si>
  <si>
    <t>2.对象，包装类（下）</t>
  </si>
  <si>
    <t>1.原型，原型链，callapply（上）</t>
  </si>
  <si>
    <t>2.原型，原型链，callapply（下）</t>
  </si>
  <si>
    <t>3.加入渡一学习群的途径</t>
  </si>
  <si>
    <t>1.继承模式，命名空间，对象枚举（上）</t>
  </si>
  <si>
    <t>2.继承模式，命名空间，对象枚举（下）</t>
  </si>
  <si>
    <t>this，笔试真题讲解（上）</t>
  </si>
  <si>
    <t>this，笔试真题讲解（下）</t>
  </si>
  <si>
    <t>1.arguments，克隆</t>
  </si>
  <si>
    <t>2.三目运算符</t>
  </si>
  <si>
    <t>3.数组，类数组</t>
  </si>
  <si>
    <t>1.数组去重，习题，答疑复习（上）</t>
  </si>
  <si>
    <t>2.数组去重，习题，答疑复习（下）</t>
  </si>
  <si>
    <t>1.try..catch，es5标准模式</t>
  </si>
  <si>
    <t>2.dom操作初探</t>
  </si>
  <si>
    <t>1.dom选择器，节点类型</t>
  </si>
  <si>
    <t>1.dom继承树，dom基本操作（上）</t>
  </si>
  <si>
    <t>2.dom继承树，dom基本操作（中）</t>
  </si>
  <si>
    <t>3.dom继承树，dom基本操作（下）</t>
  </si>
  <si>
    <t>date对象，定时器（上)</t>
  </si>
  <si>
    <t>date对象，定时器（中)</t>
  </si>
  <si>
    <t>date对象，定时器（下)</t>
  </si>
  <si>
    <t>获取窗口属性，获取dom尺寸，脚本化CSS(上)</t>
  </si>
  <si>
    <t>获取窗口属性，获取dom尺寸，脚本化CSS(下)</t>
  </si>
  <si>
    <t>1.事件1（上）</t>
  </si>
  <si>
    <t>2.事件1（下）</t>
  </si>
  <si>
    <t>1.事件2</t>
  </si>
  <si>
    <t>1.json，异步加载，时间线（上）当前学习</t>
  </si>
  <si>
    <t>2.json，异步加载，时间线（下）</t>
  </si>
  <si>
    <t>1.正则表达式（上）</t>
  </si>
  <si>
    <t>2.正则表达式（下）</t>
  </si>
  <si>
    <t>1. 搭建工程</t>
  </si>
  <si>
    <t>2. 顶部导航-主区域</t>
  </si>
  <si>
    <t>3. 顶部导航-购物车</t>
  </si>
  <si>
    <t>4. 头部-Logo和菜单</t>
  </si>
  <si>
    <t>5. 头部-二级菜单</t>
  </si>
  <si>
    <t>6. 头部-搜索区域</t>
  </si>
  <si>
    <t>7. 横幅-主区域</t>
  </si>
  <si>
    <t>8. 横幅-菜单</t>
  </si>
  <si>
    <t>9. 横幅2</t>
  </si>
  <si>
    <t>10. 主区域-广告</t>
  </si>
  <si>
    <t>11. 主区域-橱窗</t>
  </si>
  <si>
    <t>12. 页脚</t>
  </si>
  <si>
    <t>13. 右侧固定菜单</t>
  </si>
  <si>
    <t>14. 右侧二维码弹出</t>
  </si>
  <si>
    <t>15. 将你的页面分享给全世界</t>
  </si>
  <si>
    <t>h</t>
    <phoneticPr fontId="1" type="noConversion"/>
  </si>
  <si>
    <t>m</t>
    <phoneticPr fontId="1" type="noConversion"/>
  </si>
  <si>
    <t>s</t>
    <phoneticPr fontId="1" type="noConversion"/>
  </si>
  <si>
    <t>01. 概述</t>
  </si>
  <si>
    <t>02. 基本概念-客户端和服务器</t>
  </si>
  <si>
    <t>03. 基本概念-url</t>
  </si>
  <si>
    <t>04. PostMan 安装和使用</t>
  </si>
  <si>
    <t>05. 基本概念-http-part1</t>
  </si>
  <si>
    <t>06. 基本概念-http-part2</t>
  </si>
  <si>
    <t>08. 浏览器页面处理流程</t>
  </si>
  <si>
    <t>09. AJAX</t>
  </si>
  <si>
    <t>10. 聊天机器人-接口封装</t>
  </si>
  <si>
    <t>11. 聊天机器人-登录和注册</t>
  </si>
  <si>
    <t>12. 聊天机器人-首页</t>
  </si>
  <si>
    <t>13. 常见问题</t>
  </si>
  <si>
    <t>01. git基本概念</t>
  </si>
  <si>
    <t>02. git分支</t>
  </si>
  <si>
    <t>03. 远程分支</t>
  </si>
  <si>
    <t>04. 使用source tree管理源码</t>
  </si>
  <si>
    <t>05.（补充）无效的路径源问题</t>
  </si>
  <si>
    <t>06. 部署git pages</t>
  </si>
  <si>
    <t>07. git工作流</t>
  </si>
  <si>
    <t>01. jQuery</t>
  </si>
  <si>
    <t>02. Lodash</t>
  </si>
  <si>
    <t>03. Animate.css</t>
  </si>
  <si>
    <t>04. Axios</t>
  </si>
  <si>
    <t>05. MockJS</t>
  </si>
  <si>
    <t>06. Moment</t>
  </si>
  <si>
    <t>07. Echarts</t>
  </si>
  <si>
    <t>01. CommonJS</t>
  </si>
  <si>
    <t>02. ES Module</t>
  </si>
  <si>
    <t>03. 包管理器</t>
  </si>
  <si>
    <t>04. Less</t>
  </si>
  <si>
    <t>04-05.Windows系统下安装nvm</t>
  </si>
  <si>
    <t>04-05.Mac系统下安装nvm</t>
  </si>
  <si>
    <t>05. 构建工具的使用</t>
  </si>
  <si>
    <t>06. 分页电影列表案例</t>
  </si>
  <si>
    <t>第一章 微信小程序快速入门篇</t>
  </si>
  <si>
    <t>1-1. 初识微信小程序</t>
  </si>
  <si>
    <t>1-2. 小程序骨架—WXML</t>
  </si>
  <si>
    <t>1-3. 小程序外观—WXSS</t>
  </si>
  <si>
    <t>1-4. 用户交互核心—事件</t>
  </si>
  <si>
    <t>1-5. APP和Page构造器</t>
  </si>
  <si>
    <t>1-6. 你要到哪儿去—路由</t>
  </si>
  <si>
    <t>1-7. 小程序中的网络请求</t>
  </si>
  <si>
    <t>1-8. 小程序中的本地存储</t>
  </si>
  <si>
    <t>1-9. 翻译小程序效果演示</t>
  </si>
  <si>
    <t>1-10. 翻译小程序结构和样式</t>
  </si>
  <si>
    <t>1-11. 翻译小程序功能实现</t>
  </si>
  <si>
    <t>1-12. 发布小程序</t>
  </si>
  <si>
    <t>第二章 微信小程序组件篇</t>
  </si>
  <si>
    <t>2-1. 基础组件串烧</t>
  </si>
  <si>
    <t>2-2. 表单组件串烧</t>
  </si>
  <si>
    <t>2-3. 轮播图案例</t>
  </si>
  <si>
    <t>2-4. movable组件案例</t>
  </si>
  <si>
    <t>2-5. video组件案例</t>
  </si>
  <si>
    <t>2-6. 自定义组件part1</t>
  </si>
  <si>
    <t>2-7. 自定义组件part2</t>
  </si>
  <si>
    <t>2-8. 自定义组件part3</t>
  </si>
  <si>
    <t>2-9. 自定义组件案例—待办事项</t>
  </si>
  <si>
    <t>2-10. 使用第三方组件库</t>
  </si>
  <si>
    <t>第三章 微信小程序云开发篇</t>
  </si>
  <si>
    <t>3-1. 云开发介绍</t>
  </si>
  <si>
    <t>3-2. 云数据库</t>
  </si>
  <si>
    <t>3-3. 云存储</t>
  </si>
  <si>
    <t>3-4. 云函数</t>
  </si>
  <si>
    <t>3-5. 云开发综合案例—发表说说</t>
  </si>
  <si>
    <t>第四章 微信小程序架构篇</t>
  </si>
  <si>
    <t>4-1. 双线程架构</t>
  </si>
  <si>
    <t>4-2. Exparser设计原理</t>
  </si>
  <si>
    <t>4-3. WXSS编译与适配</t>
  </si>
  <si>
    <t>第五章 微信小程序常见应用篇</t>
  </si>
  <si>
    <t>5-1. 微信API—获取各种信息</t>
  </si>
  <si>
    <t>5-2. 微信API—小程序登录</t>
  </si>
  <si>
    <t>5-3. 微信API—分享功能</t>
  </si>
  <si>
    <t>5-4. 内置组件—Canvas制作涂鸦板案例</t>
  </si>
  <si>
    <t>5-5. 项目配置—小程序分包</t>
  </si>
  <si>
    <t>5-6. 微信API—扫码案例演示</t>
  </si>
  <si>
    <t>5-7. 综合案例—扫码综合演示</t>
  </si>
  <si>
    <t>5-8. 微信API—指南针案例</t>
  </si>
  <si>
    <t>5-9. 微信API—电量监控与拨打电话</t>
  </si>
  <si>
    <t>5-10. 微信API—截屏震动与添加联系人</t>
  </si>
  <si>
    <t>5-11. 微信API—动画案例</t>
  </si>
  <si>
    <t>5-12. 微信API—录音功能</t>
  </si>
  <si>
    <t>5-13. 微信API—下拉刷新和上拉加载</t>
  </si>
  <si>
    <t>5-14. 内置语法—WXS</t>
  </si>
  <si>
    <t>JavaScript详细版 - 袁进</t>
  </si>
  <si>
    <t>1. 概述</t>
  </si>
  <si>
    <t>1-2. JS语言概述</t>
  </si>
  <si>
    <t>1-3. 开发环境准备</t>
  </si>
  <si>
    <t>2. JS语法基础</t>
  </si>
  <si>
    <t>2-1. 第一个JS程序</t>
  </si>
  <si>
    <t>2-2. 数据和数据类型</t>
  </si>
  <si>
    <t>2-3. 变量</t>
  </si>
  <si>
    <t>2-4. 变量和对象</t>
  </si>
  <si>
    <t>2-5. 引用类型</t>
  </si>
  <si>
    <t>3. 运算符</t>
  </si>
  <si>
    <t>3-1. 运算符概述</t>
  </si>
  <si>
    <t>3-2. 算术运算符</t>
  </si>
  <si>
    <t>3-3. [作业讲解] 算术运算符</t>
  </si>
  <si>
    <t>3-4. 自增和自减</t>
  </si>
  <si>
    <t>3-5. 比较运算符</t>
  </si>
  <si>
    <t>3-6. 逻辑运算符</t>
  </si>
  <si>
    <t>3-7. [作业讲解] 逻辑运算符</t>
  </si>
  <si>
    <t>3-8. 三目运算符</t>
  </si>
  <si>
    <t>3-9. 运算符补充</t>
  </si>
  <si>
    <t>3-10. [扩展] 数字的存储</t>
  </si>
  <si>
    <t>3-11. [扩展] 位运算符</t>
  </si>
  <si>
    <t>3-12. [扩展] 求余和求模</t>
  </si>
  <si>
    <t>4. 流程控制</t>
  </si>
  <si>
    <t>4-1. 流程图</t>
  </si>
  <si>
    <t>4-2. if判断</t>
  </si>
  <si>
    <t>4-3. [作业讲解] if判断</t>
  </si>
  <si>
    <t>4-4. switch开关</t>
  </si>
  <si>
    <t>4-5. 循环</t>
  </si>
  <si>
    <t>4-6. 循环应用</t>
  </si>
  <si>
    <t>4-7. [作业讲解] 循环应用</t>
  </si>
  <si>
    <t>4-8. 数组</t>
  </si>
  <si>
    <t>4-9. 数组应用</t>
  </si>
  <si>
    <t>4-10. [作业讲解] 数组应用</t>
  </si>
  <si>
    <t>5. 函数</t>
  </si>
  <si>
    <t>5-1. 函数语法</t>
  </si>
  <si>
    <t>5-2. [作业讲解] 函数语法</t>
  </si>
  <si>
    <t>5-3. 作用域和闭包</t>
  </si>
  <si>
    <t>5-4. 函数表达式和this</t>
  </si>
  <si>
    <t>5-5. [作业讲解] 函数表达式和this</t>
  </si>
  <si>
    <t>5-6. 构造函数</t>
  </si>
  <si>
    <t>5-7. 函数的本质</t>
  </si>
  <si>
    <t>5-8. 递归</t>
  </si>
  <si>
    <t>6. 标准库</t>
  </si>
  <si>
    <t>6.1.Object和Function</t>
  </si>
  <si>
    <t>6.2.Array构造器</t>
  </si>
  <si>
    <t>6.3.[作业讲解]Array构造器</t>
  </si>
  <si>
    <t>6.4.原始类型包装器</t>
  </si>
  <si>
    <t>6.5.[作业讲解]原始类型包装器</t>
  </si>
  <si>
    <t>6.6. Math对象</t>
  </si>
  <si>
    <t>6.7.Date构造器</t>
  </si>
  <si>
    <t>6.8.[作业讲解]Date构造器</t>
  </si>
  <si>
    <t>6.9.1 正则表达式(1)</t>
  </si>
  <si>
    <t>6.9.2正则表达式(2)</t>
  </si>
  <si>
    <t>6.9.3正则表达式(3)</t>
  </si>
  <si>
    <t>6.10.错误处理</t>
  </si>
  <si>
    <t>7. dom核心</t>
  </si>
  <si>
    <t>7-1. WebApi概述</t>
  </si>
  <si>
    <t>7-2. 获取dom节点</t>
  </si>
  <si>
    <t>7-3. [作业讲解] 获取dom元素</t>
  </si>
  <si>
    <t>7-4. dom元素操作-1</t>
  </si>
  <si>
    <t>7-5. dom元素操作-2</t>
  </si>
  <si>
    <t>7-6. [作业讲解] dom元素操作</t>
  </si>
  <si>
    <t>7-7. dom元素样式</t>
  </si>
  <si>
    <t>7-8. [作业讲解] dom元素样式</t>
  </si>
  <si>
    <t>7-9. [作业讲解]拼图游戏-1</t>
  </si>
  <si>
    <t>7-10.  [作业讲解]拼图游戏-2</t>
  </si>
  <si>
    <t>8. dom事件</t>
  </si>
  <si>
    <t>8-1. 基础概念</t>
  </si>
  <si>
    <t>8-2. 事件注册</t>
  </si>
  <si>
    <t>8-3. 事件对象</t>
  </si>
  <si>
    <t>8-4. [作业讲解] 事件对象</t>
  </si>
  <si>
    <t>8-5. 事件类型-鼠标事件</t>
  </si>
  <si>
    <t>8-6. [作业讲解] 星星评分、放大镜</t>
  </si>
  <si>
    <t>8-7. 事件类型-键盘事件</t>
  </si>
  <si>
    <t>8-8. [作业讲解] 键盘事件</t>
  </si>
  <si>
    <t>8-9. 表单事件</t>
  </si>
  <si>
    <t>8-10. 页面状态事件</t>
  </si>
  <si>
    <t>8-11. 其他事件</t>
  </si>
  <si>
    <t>8-12. [作业讲解] 自定义右键菜单</t>
  </si>
  <si>
    <t>8-13. [作业讲解] 许愿墙</t>
  </si>
  <si>
    <t>8-14. 补充知识</t>
  </si>
  <si>
    <t>9. bom</t>
  </si>
  <si>
    <t>9-1. 计时器</t>
  </si>
  <si>
    <t>9-2. [作业讲解] 计时器</t>
  </si>
  <si>
    <t>9-3. [作业讲解] 无缝轮播图</t>
  </si>
  <si>
    <t>9-4. window对象</t>
  </si>
  <si>
    <t>9-5. [作业讲解] 提示插件</t>
  </si>
  <si>
    <t>10. JS进阶</t>
  </si>
  <si>
    <t>10-1. 原型和原型链</t>
  </si>
  <si>
    <t>10-2. 原型链的应用</t>
  </si>
  <si>
    <t>10-3. [扩展] 属性描述符</t>
  </si>
  <si>
    <t>10-4. 执行上下文</t>
  </si>
  <si>
    <t>10-5. 作用域链</t>
  </si>
  <si>
    <t>10-6. 事件循环</t>
  </si>
  <si>
    <t>10-7. 骚操作-对象混合和克隆</t>
  </si>
  <si>
    <t>10-8. 骚操作-函数防抖和函数节流</t>
  </si>
  <si>
    <t>10-9. [扩展] 骚操作-柯里化</t>
  </si>
  <si>
    <t>10-10. 骚操作-函数管道</t>
  </si>
  <si>
    <t>11. 案例实训</t>
  </si>
  <si>
    <t>11-1. 图片瀑布流</t>
  </si>
  <si>
    <t>11-2. 动画插件</t>
  </si>
  <si>
    <t>11-3. 文字滚动效果</t>
  </si>
  <si>
    <t>11-4. 手风琴效果</t>
  </si>
  <si>
    <t>11-5. 购物车</t>
  </si>
  <si>
    <t>11-6. 像素鸟小游戏-1</t>
  </si>
  <si>
    <t>11-7. 像素鸟小游戏-2</t>
  </si>
  <si>
    <t>11-8. [扩展] 通用表单插件-1</t>
  </si>
  <si>
    <t>11-9. [扩展] 通用表单插件-2</t>
  </si>
  <si>
    <t>11-10. [扩展] 通用表单插件-3</t>
  </si>
  <si>
    <t>12. 结语</t>
  </si>
  <si>
    <t>12-1. 结语</t>
  </si>
  <si>
    <t>01. 前端框架的由来</t>
  </si>
  <si>
    <t>02. 第一个vue应用</t>
  </si>
  <si>
    <t>03. 核心概念</t>
  </si>
  <si>
    <t>04. 组件</t>
  </si>
  <si>
    <t>04-05.（必看）保持一致的版本</t>
  </si>
  <si>
    <t>05. 搭建工程</t>
  </si>
  <si>
    <t>06. 计算属性</t>
  </si>
  <si>
    <t>07. 组件事件</t>
  </si>
  <si>
    <t>08. 优化工程结构</t>
  </si>
  <si>
    <t>09. 组件练习</t>
  </si>
  <si>
    <t>10. 插槽</t>
  </si>
  <si>
    <t>11. 路由</t>
  </si>
  <si>
    <t>12. 弹出消息</t>
  </si>
  <si>
    <t>13. 获取远程数据</t>
  </si>
  <si>
    <t>14. 组件生命周期</t>
  </si>
  <si>
    <t>15. 完成首页-part1</t>
  </si>
  <si>
    <t>16. 完成首页-part2</t>
  </si>
  <si>
    <t>17. 完成首页-part3</t>
  </si>
  <si>
    <t>18. 自定义指令</t>
  </si>
  <si>
    <t>19. 组件混入</t>
  </si>
  <si>
    <t>20. 组件递归</t>
  </si>
  <si>
    <t>21. 开发文章列表页-part1</t>
  </si>
  <si>
    <t>22. 开发文章列表页-part2</t>
  </si>
  <si>
    <t>23. 开发文章详情页-part1</t>
  </si>
  <si>
    <t>24. 开发文章详情页-part2</t>
  </si>
  <si>
    <t>25. $listeners和v-model</t>
  </si>
  <si>
    <t>26. 开发文章详情页-part3</t>
  </si>
  <si>
    <t>27. 事件总线</t>
  </si>
  <si>
    <t>28. 开发文章详情页-part4</t>
  </si>
  <si>
    <t>29. 开发文章详情页-part5</t>
  </si>
  <si>
    <t>30. 代码优化</t>
  </si>
  <si>
    <t>31. 图片懒加载</t>
  </si>
  <si>
    <t>32. 数据共享</t>
  </si>
  <si>
    <t>33. vuex经典案例</t>
  </si>
  <si>
    <t>34. 在项目中应用vuex</t>
  </si>
  <si>
    <t>35. 页面标题的统一处理</t>
  </si>
  <si>
    <t>36. 完成「关于我」页面</t>
  </si>
  <si>
    <t>37. 完成「项目&amp;效果」页面</t>
  </si>
  <si>
    <t>38. 完成「留言板」页面</t>
  </si>
  <si>
    <t>39. 打包优化</t>
  </si>
  <si>
    <t>40. 异步组件</t>
  </si>
  <si>
    <t>41. 补充-无数据的显示</t>
  </si>
  <si>
    <t>42. 补充-404页面</t>
  </si>
  <si>
    <t>43. 补充-解决项目无法搭建问题</t>
    <phoneticPr fontId="1" type="noConversion"/>
  </si>
  <si>
    <t>vue 从入门到实战 - 袁进</t>
  </si>
  <si>
    <t>01. 项目介绍与演示</t>
  </si>
  <si>
    <t>02. 项目准备 part1(介绍 Element UI)</t>
  </si>
  <si>
    <t>03. 项目准备 part2(介绍 vue-element-admin)</t>
  </si>
  <si>
    <t>04. 项目准备 part3(搭建项目架子)</t>
  </si>
  <si>
    <t>05. 项目准备 part4(服务器和接口)</t>
  </si>
  <si>
    <t>06. 登录界面制作</t>
  </si>
  <si>
    <t>07. 登录功能制作</t>
  </si>
  <si>
    <t>08. 鉴权功能制作</t>
  </si>
  <si>
    <t>09. 首页标语 part1(页面渲染)</t>
  </si>
  <si>
    <t>10. 首页标语 part2(完成编辑和图片上传)</t>
  </si>
  <si>
    <t>11. 文章模块 part1(文章列表渲染、分页、删除文章)</t>
  </si>
  <si>
    <t>12. 文章模块 part2(文章分类)</t>
  </si>
  <si>
    <t>13. 文章模块 part3(添加和编辑文章)</t>
  </si>
  <si>
    <t>14. 文章模块 part4(优化添加和编辑文章)</t>
  </si>
  <si>
    <t>15. 项目管理模块</t>
  </si>
  <si>
    <t>16. 评论管理和留言板模块</t>
  </si>
  <si>
    <t>17. 关于我、设置和个人信息模块</t>
  </si>
  <si>
    <t>18. 项目部署到阿里云</t>
  </si>
  <si>
    <t>19. 项目总结</t>
  </si>
  <si>
    <t>20.项目部署补充</t>
  </si>
  <si>
    <t>vue 组件库从入门到实战 - 谢杰</t>
  </si>
  <si>
    <t>05-1.项目准备 part4(服务器和接口)</t>
    <phoneticPr fontId="1" type="noConversion"/>
  </si>
  <si>
    <t xml:space="preserve">05-2.mac下的mongodb安装和数据恢复 </t>
    <phoneticPr fontId="1" type="noConversion"/>
  </si>
  <si>
    <t xml:space="preserve">05-3.windows下的mongodb安装和恢复数据 </t>
    <phoneticPr fontId="1" type="noConversion"/>
  </si>
  <si>
    <t>18-1.项目部署介绍</t>
    <phoneticPr fontId="1" type="noConversion"/>
  </si>
  <si>
    <t>18-2.购买阿里云服务器</t>
    <phoneticPr fontId="1" type="noConversion"/>
  </si>
  <si>
    <t>18-3.安装Node.js</t>
    <phoneticPr fontId="1" type="noConversion"/>
  </si>
  <si>
    <t>18-4.安装MongoDB</t>
    <phoneticPr fontId="1" type="noConversion"/>
  </si>
  <si>
    <t>18-5.上传服务器代码和恢复数据库数据</t>
    <phoneticPr fontId="1" type="noConversion"/>
  </si>
  <si>
    <t>18-6.安装Nginx</t>
    <phoneticPr fontId="1" type="noConversion"/>
  </si>
  <si>
    <t>18-7.上传静态资源</t>
    <phoneticPr fontId="1" type="noConversion"/>
  </si>
  <si>
    <t>18-8.进程守护</t>
    <phoneticPr fontId="1" type="noConversion"/>
  </si>
  <si>
    <t>18-9.域名映射</t>
    <phoneticPr fontId="1" type="noConversion"/>
  </si>
  <si>
    <t>18-10.数据库远程连接加密</t>
    <phoneticPr fontId="1" type="noConversion"/>
  </si>
  <si>
    <t>20-1.数据库恢复数据</t>
    <phoneticPr fontId="1" type="noConversion"/>
  </si>
  <si>
    <t>20-2.安装Node和Mongo</t>
    <phoneticPr fontId="1" type="noConversion"/>
  </si>
  <si>
    <t>01.Vue基础知识1 (6小节)</t>
  </si>
  <si>
    <t>02.Vue基础知识2 (5小节)</t>
  </si>
  <si>
    <t>03.Vue常用组件使用 (5小节)</t>
  </si>
  <si>
    <t>1.从vue到前端</t>
  </si>
  <si>
    <t>2.vue初体验</t>
  </si>
  <si>
    <t>3.vue必会概念</t>
  </si>
  <si>
    <t>4.学习须知</t>
  </si>
  <si>
    <t>5.模板语法和计算属性</t>
  </si>
  <si>
    <t>6.组件必会概念</t>
  </si>
  <si>
    <t>1. 使用脚手架搭建工程</t>
  </si>
  <si>
    <t>2. 开发通用组件</t>
  </si>
  <si>
    <t>3. 自定义事件</t>
  </si>
  <si>
    <t>4. 开发频道菜单</t>
  </si>
  <si>
    <t>5.获取频道数据</t>
  </si>
  <si>
    <t>1.完成频道列表组件</t>
  </si>
  <si>
    <t>2.继续完善频道列表</t>
  </si>
  <si>
    <t>3.搜索框组件</t>
  </si>
  <si>
    <t>4.侧边栏和页面组件</t>
  </si>
  <si>
    <t>5.尾声：学无止境</t>
  </si>
  <si>
    <t>Ch</t>
    <phoneticPr fontId="1" type="noConversion"/>
  </si>
  <si>
    <t>07. 关于 Apifox 的使用</t>
  </si>
  <si>
    <t>01-echarts介绍</t>
  </si>
  <si>
    <t>02-第一个Ecarts例子</t>
  </si>
  <si>
    <t>03-title组件</t>
  </si>
  <si>
    <t>04-legend组件1</t>
  </si>
  <si>
    <t>05-legend组件2</t>
  </si>
  <si>
    <t>06-网格</t>
  </si>
  <si>
    <t>07-坐标轴1</t>
  </si>
  <si>
    <t>08-坐标轴2</t>
  </si>
  <si>
    <t>09-极坐标系</t>
  </si>
  <si>
    <t>10-雷达坐标系</t>
  </si>
  <si>
    <t>11-区域缩放1</t>
  </si>
  <si>
    <t>12-区域缩放2</t>
  </si>
  <si>
    <t>13-视觉映射组件-1</t>
  </si>
  <si>
    <t>14-视觉映射组件-2</t>
  </si>
  <si>
    <t>15-视觉映射组件-3</t>
  </si>
  <si>
    <t>16-提示框组件</t>
  </si>
  <si>
    <t>17-坐标轴指示器组件</t>
  </si>
  <si>
    <t>18-工具栏</t>
  </si>
  <si>
    <t>19-区域选择1</t>
  </si>
  <si>
    <t>20-区域选择2</t>
  </si>
  <si>
    <t>21-地理坐标系1</t>
  </si>
  <si>
    <t>22-地理坐标系2</t>
  </si>
  <si>
    <t>23-平行坐标系</t>
  </si>
  <si>
    <t>24-单轴</t>
  </si>
  <si>
    <t>25-时间轴</t>
  </si>
  <si>
    <t>26-图形元素1</t>
  </si>
  <si>
    <t>27-图形元素2</t>
  </si>
  <si>
    <t>28-日历坐标系</t>
  </si>
  <si>
    <t>29-数据集1-存储</t>
  </si>
  <si>
    <t>30-数据集2-映射</t>
  </si>
  <si>
    <t>31-折线图</t>
  </si>
  <si>
    <t>32-柱状图</t>
  </si>
  <si>
    <t>33-饼图</t>
  </si>
  <si>
    <t>34-气泡图</t>
  </si>
  <si>
    <t>35-涟漪气泡图</t>
  </si>
  <si>
    <t>36-雷达图</t>
  </si>
  <si>
    <t>37-树图</t>
  </si>
  <si>
    <t>38-矩形树图1</t>
  </si>
  <si>
    <t>39-矩形树图2</t>
  </si>
  <si>
    <t>40-旭日图</t>
  </si>
  <si>
    <t>41-盒须图</t>
  </si>
  <si>
    <t>42-K线图</t>
  </si>
  <si>
    <t>43-热力图</t>
  </si>
  <si>
    <t>44-平行坐标图</t>
  </si>
  <si>
    <t>45-线图</t>
  </si>
  <si>
    <t>46-关系图</t>
  </si>
  <si>
    <t>47-桑基图</t>
  </si>
  <si>
    <t>48-漏斗图</t>
  </si>
  <si>
    <t>49-仪表盘</t>
  </si>
  <si>
    <t>50-象形柱图</t>
  </si>
  <si>
    <t>51-河流图</t>
  </si>
  <si>
    <t>52-课程总结</t>
  </si>
  <si>
    <t>1.Webpack核心功能</t>
  </si>
  <si>
    <t>1-1. 如何在浏览器端实现模块化</t>
  </si>
  <si>
    <t>1-2. webpack的安装和使用</t>
  </si>
  <si>
    <t>1-3. 模块化兼容性</t>
  </si>
  <si>
    <t>1-4. [练习]酷炫的数字查找特效</t>
  </si>
  <si>
    <t>1-5. 编译结果分析</t>
  </si>
  <si>
    <t>1-6. 配置文件</t>
  </si>
  <si>
    <t>1-7. devtool配置</t>
  </si>
  <si>
    <t>1-8. 编译过程</t>
  </si>
  <si>
    <t>1-9. 入口和出口</t>
  </si>
  <si>
    <t>1-10. 入口和出口的最佳实践</t>
  </si>
  <si>
    <t>1-11. loader</t>
  </si>
  <si>
    <t>1-12. [练习]处理样式</t>
  </si>
  <si>
    <t>1-13. [练习]处理图片</t>
  </si>
  <si>
    <t>1-14. plugin</t>
  </si>
  <si>
    <t>1-15. [练习]添加文件列表</t>
  </si>
  <si>
    <t>1-16. 区分环境</t>
  </si>
  <si>
    <t>1-17. 其他细节配置</t>
  </si>
  <si>
    <t>2.常用扩展</t>
  </si>
  <si>
    <t>2-1. 清除输出目录</t>
  </si>
  <si>
    <t>2-2. 自动生成页面</t>
  </si>
  <si>
    <t>2-3. 复制静态资源</t>
  </si>
  <si>
    <t>2-4. 开发服务器</t>
  </si>
  <si>
    <t>2-5. 普通文件处理</t>
  </si>
  <si>
    <t>2-6. 解决路径问题</t>
  </si>
  <si>
    <t>2-7. webpack内置插件</t>
  </si>
  <si>
    <t>2-8. [练习]区域查询</t>
  </si>
  <si>
    <t>3. CSS工程化</t>
  </si>
  <si>
    <t>3-1. css工程化概述</t>
  </si>
  <si>
    <t>3-2. 利用webpack拆分css</t>
  </si>
  <si>
    <t>3-3. BEM</t>
  </si>
  <si>
    <t>3-4. css-in-js</t>
  </si>
  <si>
    <t>3-5. css module</t>
  </si>
  <si>
    <t>3-6. 预编译器less</t>
  </si>
  <si>
    <t>3-7. 在webpack中使用less</t>
  </si>
  <si>
    <t>3-8. PostCss</t>
  </si>
  <si>
    <t>3-9.在webpack中使用postcss</t>
  </si>
  <si>
    <t>3-10.抽离css文件</t>
  </si>
  <si>
    <t>4. js兼容性</t>
  </si>
  <si>
    <t>4-1. babel的安装和使用</t>
  </si>
  <si>
    <t>4-2. babel预设</t>
  </si>
  <si>
    <t>4-3. babel插件</t>
  </si>
  <si>
    <t>4-4. 在webpack中使用babel</t>
  </si>
  <si>
    <t>4-5. [扩展]对类的转换</t>
  </si>
  <si>
    <t>4-6. [扩展]async和await的转换</t>
  </si>
  <si>
    <t>5. 性能优化</t>
  </si>
  <si>
    <t>5-1. 性能优化概述</t>
  </si>
  <si>
    <t>5-2. 减少模块解析</t>
  </si>
  <si>
    <t>5-3. 优化loader性能</t>
  </si>
  <si>
    <t>5-4. 热替换</t>
  </si>
  <si>
    <t>5-5. 手动分包</t>
  </si>
  <si>
    <t>5-6. 自动分包</t>
  </si>
  <si>
    <t>5-7. 代码压缩</t>
  </si>
  <si>
    <t>5-8. tree shaking</t>
  </si>
  <si>
    <t>5-9. 懒加载</t>
  </si>
  <si>
    <t>5-10. ESLint</t>
  </si>
  <si>
    <t>5-11. bundle analyzer</t>
  </si>
  <si>
    <t>5-12. gzip</t>
  </si>
  <si>
    <t>6. 补充和案例</t>
  </si>
  <si>
    <t>6-1. [扩展]不确定的动态依赖</t>
  </si>
  <si>
    <t>6-2. 搭建多页应用</t>
  </si>
  <si>
    <t>6-3. [扩展]搭建vue单页应用</t>
  </si>
  <si>
    <t>6-4. [扩展]搭建React单页应用</t>
  </si>
  <si>
    <t>6-5. [扩展]搭建Node应用</t>
  </si>
  <si>
    <t>6-6. 搭建全栈应用</t>
  </si>
  <si>
    <t>1-5-1. 学习可以很轻松</t>
    <phoneticPr fontId="1" type="noConversion"/>
  </si>
  <si>
    <t>webpack-课程前导</t>
    <phoneticPr fontId="1" type="noConversion"/>
  </si>
  <si>
    <t>01.课程导读</t>
  </si>
  <si>
    <t>02.认识BPMN</t>
  </si>
  <si>
    <t>03.工作流引擎的简单介绍</t>
  </si>
  <si>
    <t>04.bpmn.js基础使用</t>
  </si>
  <si>
    <t>05.bpmn.js常见功能处理</t>
  </si>
  <si>
    <t>06.了解bpmn.js的底层实现</t>
  </si>
  <si>
    <t>07.简单引入自定义Palette处理</t>
  </si>
  <si>
    <t>08.自定义Palette模块实现</t>
  </si>
  <si>
    <t>09.自定义Modeler替换</t>
  </si>
  <si>
    <t>10.自定义renderer</t>
  </si>
  <si>
    <t>11.自定义ContextPad</t>
  </si>
  <si>
    <t>12.使用仓库保存节点数据</t>
  </si>
  <si>
    <t>13.自定义封装处理-1</t>
  </si>
  <si>
    <t>14.自定义封装处理-2</t>
  </si>
  <si>
    <t>15.bpmn properties</t>
  </si>
  <si>
    <t>16.moddleExtension描述文件</t>
  </si>
  <si>
    <t>17.自定义PropertiesPanelExtension扩展</t>
  </si>
  <si>
    <t>18.完全自定义PropertiesPanel</t>
  </si>
  <si>
    <t>19.flowable工作流引擎处理</t>
  </si>
  <si>
    <t>20.通过flowable相关API实现工作流处理</t>
  </si>
  <si>
    <t>BPMN可视化与工作流实践 - 闫虹志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</si>
</sst>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name val="等线"/>
      <family val="3"/>
      <charset val="134"/>
      <scheme val="minor"/>
    </font>
    <font>
      <b/>
      <sz val="11"/>
      <color theme="0"/>
      <name val="等线"/>
      <family val="2"/>
      <charset val="134"/>
      <scheme val="minor"/>
    </font>
    <font>
      <sz val="12"/>
      <color rgb="FF333333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theme="1"/>
      <name val="等线"/>
      <charset val="134"/>
      <scheme val="minor"/>
    </font>
    <font>
      <b/>
      <sz val="15"/>
      <color theme="1"/>
      <name val="等线"/>
      <family val="3"/>
      <charset val="134"/>
      <scheme val="minor"/>
    </font>
    <font>
      <sz val="12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11"/>
      <color rgb="FFFF0000"/>
      <name val="等线"/>
      <family val="3"/>
      <charset val="134"/>
      <scheme val="minor"/>
    </font>
    <font>
      <sz val="11"/>
      <color rgb="FFFF0000"/>
      <name val="等线"/>
      <family val="2"/>
      <charset val="134"/>
      <scheme val="minor"/>
    </font>
    <font>
      <sz val="11"/>
      <color theme="1"/>
      <name val="等线"/>
      <charset val="134"/>
      <scheme val="minor"/>
    </font>
    <font>
      <b/>
      <sz val="15"/>
      <color rgb="FF262626"/>
      <name val="等线"/>
      <charset val="134"/>
      <scheme val="minor"/>
    </font>
  </fonts>
  <fills count="6">
    <fill>
      <patternFill patternType="none"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5C0A5"/>
        <bgColor indexed="64"/>
      </patternFill>
    </fill>
  </fills>
  <borders count="12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4" tint="0.39997558519241921"/>
      </left>
      <right/>
      <top/>
      <bottom/>
      <diagonal/>
    </border>
    <border>
      <left/>
      <right style="thin">
        <color theme="4" tint="0.39997558519241921"/>
      </right>
      <top/>
      <bottom/>
      <diagonal/>
    </border>
    <border>
      <left style="thin">
        <color theme="4" tint="0.39997558519241921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1">
    <xf numFmtId="0" fontId="0" fillId="0" borderId="0">
      <alignment vertical="center"/>
    </xf>
  </cellStyleXfs>
  <cellXfs count="71">
    <xf numFmtId="0" fontId="0" fillId="0" borderId="0" xfId="0">
      <alignment vertical="center"/>
    </xf>
    <xf numFmtId="0" fontId="2" fillId="0" borderId="0" xfId="0" applyFont="1" applyAlignment="1">
      <alignment horizontal="left" vertical="center" indent="28"/>
    </xf>
    <xf numFmtId="0" fontId="3" fillId="0" borderId="0" xfId="0" applyFont="1" applyAlignment="1">
      <alignment horizontal="left" vertical="center" indent="28"/>
    </xf>
    <xf numFmtId="0" fontId="0" fillId="0" borderId="0" xfId="0" applyAlignment="1">
      <alignment horizontal="left" vertical="center" indent="28"/>
    </xf>
    <xf numFmtId="0" fontId="0" fillId="3" borderId="1" xfId="0" applyFill="1" applyBorder="1">
      <alignment vertical="center"/>
    </xf>
    <xf numFmtId="0" fontId="0" fillId="3" borderId="3" xfId="0" applyFill="1" applyBorder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0" xfId="0" applyAlignment="1">
      <alignment horizontal="left" vertical="center" indent="25"/>
    </xf>
    <xf numFmtId="0" fontId="2" fillId="0" borderId="0" xfId="0" applyFont="1" applyAlignment="1">
      <alignment horizontal="left" vertical="center" indent="26"/>
    </xf>
    <xf numFmtId="0" fontId="2" fillId="0" borderId="0" xfId="0" applyFont="1" applyAlignment="1">
      <alignment horizontal="left" vertical="center" indent="29"/>
    </xf>
    <xf numFmtId="0" fontId="2" fillId="0" borderId="0" xfId="0" applyFont="1" applyAlignment="1">
      <alignment horizontal="left" vertical="center" indent="33"/>
    </xf>
    <xf numFmtId="0" fontId="2" fillId="0" borderId="0" xfId="0" applyFont="1" applyAlignment="1">
      <alignment horizontal="left" vertical="center" indent="31"/>
    </xf>
    <xf numFmtId="0" fontId="4" fillId="2" borderId="5" xfId="0" applyFont="1" applyFill="1" applyBorder="1" applyAlignment="1">
      <alignment horizontal="center" vertical="center"/>
    </xf>
    <xf numFmtId="0" fontId="4" fillId="2" borderId="2" xfId="0" applyFont="1" applyFill="1" applyBorder="1" applyAlignment="1">
      <alignment horizontal="center" vertical="center"/>
    </xf>
    <xf numFmtId="0" fontId="4" fillId="2" borderId="6" xfId="0" applyFont="1" applyFill="1" applyBorder="1" applyAlignment="1">
      <alignment horizontal="center" vertical="center"/>
    </xf>
    <xf numFmtId="0" fontId="0" fillId="3" borderId="5" xfId="0" applyFill="1" applyBorder="1">
      <alignment vertical="center"/>
    </xf>
    <xf numFmtId="0" fontId="0" fillId="3" borderId="2" xfId="0" applyFill="1" applyBorder="1">
      <alignment vertical="center"/>
    </xf>
    <xf numFmtId="0" fontId="2" fillId="3" borderId="6" xfId="0" applyFont="1" applyFill="1" applyBorder="1" applyAlignment="1">
      <alignment horizontal="center" vertical="center"/>
    </xf>
    <xf numFmtId="0" fontId="0" fillId="0" borderId="5" xfId="0" applyBorder="1">
      <alignment vertical="center"/>
    </xf>
    <xf numFmtId="0" fontId="0" fillId="0" borderId="2" xfId="0" applyBorder="1">
      <alignment vertical="center"/>
    </xf>
    <xf numFmtId="0" fontId="2" fillId="0" borderId="6" xfId="0" applyFont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0" borderId="0" xfId="0" applyFont="1">
      <alignment vertical="center"/>
    </xf>
    <xf numFmtId="0" fontId="5" fillId="0" borderId="0" xfId="0" applyFont="1" applyAlignment="1">
      <alignment horizontal="left" vertical="center" indent="1"/>
    </xf>
    <xf numFmtId="0" fontId="2" fillId="0" borderId="0" xfId="0" applyFont="1" applyAlignment="1">
      <alignment horizontal="center" vertical="center"/>
    </xf>
    <xf numFmtId="0" fontId="6" fillId="0" borderId="0" xfId="0" applyFont="1">
      <alignment vertical="center"/>
    </xf>
    <xf numFmtId="0" fontId="0" fillId="0" borderId="4" xfId="0" applyBorder="1">
      <alignment vertical="center"/>
    </xf>
    <xf numFmtId="0" fontId="0" fillId="3" borderId="6" xfId="0" applyFill="1" applyBorder="1">
      <alignment vertical="center"/>
    </xf>
    <xf numFmtId="0" fontId="0" fillId="0" borderId="6" xfId="0" applyBorder="1">
      <alignment vertical="center"/>
    </xf>
    <xf numFmtId="0" fontId="7" fillId="0" borderId="0" xfId="0" applyFont="1">
      <alignment vertical="center"/>
    </xf>
    <xf numFmtId="0" fontId="8" fillId="0" borderId="0" xfId="0" applyFont="1">
      <alignment vertical="center"/>
    </xf>
    <xf numFmtId="0" fontId="0" fillId="0" borderId="0" xfId="0" applyAlignment="1">
      <alignment horizontal="left" vertical="center" indent="1"/>
    </xf>
    <xf numFmtId="0" fontId="0" fillId="0" borderId="0" xfId="0" applyAlignment="1">
      <alignment horizontal="left" vertical="center"/>
    </xf>
    <xf numFmtId="0" fontId="2" fillId="0" borderId="0" xfId="0" applyFont="1" applyAlignment="1">
      <alignment horizontal="left" vertical="center" indent="25"/>
    </xf>
    <xf numFmtId="0" fontId="2" fillId="0" borderId="0" xfId="0" applyFont="1" applyAlignment="1">
      <alignment horizontal="left" vertical="center" indent="22"/>
    </xf>
    <xf numFmtId="0" fontId="9" fillId="0" borderId="0" xfId="0" applyFont="1">
      <alignment vertical="center"/>
    </xf>
    <xf numFmtId="0" fontId="2" fillId="0" borderId="0" xfId="0" applyFont="1" applyAlignment="1">
      <alignment horizontal="left" vertical="center" indent="20"/>
    </xf>
    <xf numFmtId="0" fontId="2" fillId="0" borderId="5" xfId="0" applyFont="1" applyBorder="1">
      <alignment vertical="center"/>
    </xf>
    <xf numFmtId="0" fontId="2" fillId="3" borderId="5" xfId="0" applyFont="1" applyFill="1" applyBorder="1">
      <alignment vertical="center"/>
    </xf>
    <xf numFmtId="0" fontId="0" fillId="3" borderId="5" xfId="0" applyFill="1" applyBorder="1" applyAlignment="1">
      <alignment horizontal="left" vertical="center" indent="1"/>
    </xf>
    <xf numFmtId="0" fontId="10" fillId="0" borderId="5" xfId="0" applyFont="1" applyBorder="1" applyAlignment="1">
      <alignment horizontal="left" vertical="center" indent="1"/>
    </xf>
    <xf numFmtId="0" fontId="0" fillId="0" borderId="5" xfId="0" applyBorder="1" applyAlignment="1">
      <alignment horizontal="left" vertical="center" indent="1"/>
    </xf>
    <xf numFmtId="0" fontId="0" fillId="3" borderId="5" xfId="0" applyFill="1" applyBorder="1" applyAlignment="1">
      <alignment horizontal="left" vertical="center" indent="2"/>
    </xf>
    <xf numFmtId="0" fontId="0" fillId="0" borderId="1" xfId="0" applyBorder="1" applyAlignment="1">
      <alignment horizontal="left" vertical="center" indent="1"/>
    </xf>
    <xf numFmtId="0" fontId="4" fillId="2" borderId="7" xfId="0" applyFont="1" applyFill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4" fillId="2" borderId="8" xfId="0" applyFont="1" applyFill="1" applyBorder="1" applyAlignment="1">
      <alignment horizontal="center" vertical="center"/>
    </xf>
    <xf numFmtId="0" fontId="4" fillId="2" borderId="9" xfId="0" applyFont="1" applyFill="1" applyBorder="1" applyAlignment="1">
      <alignment horizontal="center" vertical="center"/>
    </xf>
    <xf numFmtId="0" fontId="4" fillId="2" borderId="10" xfId="0" applyFont="1" applyFill="1" applyBorder="1" applyAlignment="1">
      <alignment horizontal="center" vertical="center"/>
    </xf>
    <xf numFmtId="0" fontId="4" fillId="2" borderId="11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11" fillId="3" borderId="5" xfId="0" applyFont="1" applyFill="1" applyBorder="1">
      <alignment vertical="center"/>
    </xf>
    <xf numFmtId="0" fontId="11" fillId="3" borderId="2" xfId="0" applyFont="1" applyFill="1" applyBorder="1">
      <alignment vertical="center"/>
    </xf>
    <xf numFmtId="0" fontId="6" fillId="3" borderId="6" xfId="0" applyFont="1" applyFill="1" applyBorder="1" applyAlignment="1">
      <alignment horizontal="center" vertical="center"/>
    </xf>
    <xf numFmtId="0" fontId="11" fillId="0" borderId="5" xfId="0" applyFont="1" applyBorder="1">
      <alignment vertical="center"/>
    </xf>
    <xf numFmtId="0" fontId="11" fillId="0" borderId="2" xfId="0" applyFont="1" applyBorder="1">
      <alignment vertical="center"/>
    </xf>
    <xf numFmtId="0" fontId="6" fillId="0" borderId="6" xfId="0" applyFont="1" applyBorder="1" applyAlignment="1">
      <alignment horizontal="center" vertical="center"/>
    </xf>
    <xf numFmtId="0" fontId="11" fillId="0" borderId="1" xfId="0" applyFont="1" applyBorder="1">
      <alignment vertical="center"/>
    </xf>
    <xf numFmtId="0" fontId="11" fillId="0" borderId="3" xfId="0" applyFont="1" applyBorder="1">
      <alignment vertical="center"/>
    </xf>
    <xf numFmtId="0" fontId="6" fillId="0" borderId="4" xfId="0" applyFont="1" applyBorder="1" applyAlignment="1">
      <alignment horizontal="center" vertical="center"/>
    </xf>
    <xf numFmtId="0" fontId="12" fillId="0" borderId="5" xfId="0" applyFont="1" applyBorder="1">
      <alignment vertical="center"/>
    </xf>
    <xf numFmtId="0" fontId="11" fillId="0" borderId="0" xfId="0" applyFont="1">
      <alignment vertical="center"/>
    </xf>
    <xf numFmtId="0" fontId="2" fillId="0" borderId="0" xfId="0" applyFont="1" applyAlignment="1">
      <alignment horizontal="left" vertical="center" indent="32"/>
    </xf>
    <xf numFmtId="0" fontId="2" fillId="0" borderId="0" xfId="0" applyFont="1" applyAlignment="1">
      <alignment horizontal="left" vertical="center" indent="16"/>
    </xf>
    <xf numFmtId="0" fontId="2" fillId="0" borderId="0" xfId="0" applyFont="1" applyAlignment="1">
      <alignment horizontal="left" vertical="center" indent="2"/>
    </xf>
    <xf numFmtId="0" fontId="13" fillId="0" borderId="0" xfId="0" applyFont="1">
      <alignment vertical="center"/>
    </xf>
    <xf numFmtId="0" fontId="14" fillId="0" borderId="0" xfId="0" applyFont="1">
      <alignment vertical="center"/>
    </xf>
    <xf numFmtId="0" fontId="6" fillId="5" borderId="0" xfId="0" applyFont="1" applyFill="1" applyAlignment="1">
      <alignment horizontal="center" vertical="center"/>
    </xf>
    <xf numFmtId="0" fontId="12" fillId="0" borderId="0" xfId="0" applyFont="1">
      <alignment vertical="center"/>
    </xf>
  </cellXfs>
  <cellStyles count="1">
    <cellStyle name="常规" xfId="0" builtinId="0"/>
  </cellStyles>
  <dxfs count="19"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top style="thin">
          <color theme="4" tint="0.39997558519241921"/>
        </top>
      </border>
    </dxf>
    <dxf>
      <font>
        <strike val="0"/>
        <outline val="0"/>
        <shadow val="0"/>
        <u val="none"/>
        <vertAlign val="baseline"/>
        <sz val="11"/>
        <color rgb="FFFF0000"/>
        <name val="等线"/>
        <charset val="134"/>
        <scheme val="minor"/>
      </font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  <dxf>
      <font>
        <b/>
        <family val="3"/>
      </font>
      <alignment horizontal="center" vertical="center" textRotation="0" wrapText="0" indent="0" justifyLastLine="0" shrinkToFit="0" readingOrder="0"/>
    </dxf>
    <dxf>
      <border outline="0">
        <top style="thin">
          <color theme="4" tint="0.39997558519241921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等线"/>
        <family val="2"/>
        <charset val="134"/>
        <scheme val="minor"/>
      </font>
      <fill>
        <patternFill patternType="solid">
          <fgColor theme="4"/>
          <bgColor theme="4"/>
        </patternFill>
      </fill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calcChain" Target="calcChain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0CFAA9-A0E5-4E03-9547-5F59A01E3F79}" name="表1" displayName="表1" ref="A1:D14" totalsRowShown="0" headerRowDxfId="18" tableBorderDxfId="17">
  <autoFilter ref="A1:D14" xr:uid="{C70CFAA9-A0E5-4E03-9547-5F59A01E3F79}"/>
  <tableColumns count="4">
    <tableColumn id="1" xr3:uid="{17F2527D-78B5-4B06-A96C-9154CE44E0C2}" name="Title"/>
    <tableColumn id="2" xr3:uid="{EE3C824F-40FF-4F88-B4B9-C5214BACA1F1}" name="Minutes"/>
    <tableColumn id="3" xr3:uid="{230A3F53-7EAB-4152-BC42-0BA62C77BB5C}" name="Seconds"/>
    <tableColumn id="4" xr3:uid="{F7B7FE7E-C186-4BD5-89FC-F90A3311F416}" name="Day" dataDxfId="1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03604A7-54BB-40E4-A753-F066A9EE57CD}" name="表2" displayName="表2" ref="A1:D8" totalsRowShown="0" headerRowDxfId="15" dataDxfId="13" headerRowBorderDxfId="14" tableBorderDxfId="12">
  <autoFilter ref="A1:D8" xr:uid="{B03604A7-54BB-40E4-A753-F066A9EE57CD}"/>
  <tableColumns count="4">
    <tableColumn id="1" xr3:uid="{56E13753-3D18-4640-894E-A9862A8519E9}" name="Title" dataDxfId="11"/>
    <tableColumn id="2" xr3:uid="{79D6C646-1226-4C28-B1C9-44701A88F7AD}" name="Minutes" dataDxfId="10"/>
    <tableColumn id="3" xr3:uid="{D0893D73-54C6-4CE8-BA7E-4CA7DAFD42BB}" name="Seconds" dataDxfId="9"/>
    <tableColumn id="4" xr3:uid="{359B13F2-EBE0-4293-9CC1-460C29E0A781}" name="Day" dataDxfId="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6FD78AE-DBFC-4D13-9AEB-87ABB2BA44ED}" name="表3" displayName="表3" ref="A1:D8" totalsRowShown="0" headerRowDxfId="7" headerRowBorderDxfId="6" tableBorderDxfId="5">
  <autoFilter ref="A1:D8" xr:uid="{86FD78AE-DBFC-4D13-9AEB-87ABB2BA44ED}"/>
  <tableColumns count="4">
    <tableColumn id="1" xr3:uid="{12D9D257-0720-4D69-92DB-DAB28C2BA457}" name="Title"/>
    <tableColumn id="2" xr3:uid="{16E320F3-22A7-423A-B471-F02438A5F8A6}" name="Minutes"/>
    <tableColumn id="3" xr3:uid="{64AD87D5-100E-459C-BDDA-2972741296A6}" name="Seconds"/>
    <tableColumn id="4" xr3:uid="{B0B5AFC3-8899-495B-B393-B698A292457B}" name="Day" dataDxfId="4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3A07BEBD-9576-4B15-B502-7AC05840FF62}" name="表4" displayName="表4" ref="A1:D9" totalsRowShown="0" headerRowDxfId="3" headerRowBorderDxfId="2" tableBorderDxfId="1">
  <autoFilter ref="A1:D9" xr:uid="{3A07BEBD-9576-4B15-B502-7AC05840FF62}"/>
  <tableColumns count="4">
    <tableColumn id="1" xr3:uid="{A51B88B7-4A2F-4D5C-A477-AFA8072799E1}" name="Title"/>
    <tableColumn id="2" xr3:uid="{4A08D9E2-7055-4737-913C-04F2C5ED46F0}" name="Minutes"/>
    <tableColumn id="3" xr3:uid="{0EDD753B-5FBA-424C-9B63-06AEEA8E4D71}" name="Seconds"/>
    <tableColumn id="4" xr3:uid="{35807557-36BB-4B11-8AC2-863BC91B2108}" name="Day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3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401E8D-40FC-4FEC-80E2-AB1337891220}">
  <sheetPr codeName="Sheet3"/>
  <dimension ref="A1:D47"/>
  <sheetViews>
    <sheetView topLeftCell="A25" workbookViewId="0">
      <selection activeCell="A47" sqref="A47"/>
    </sheetView>
  </sheetViews>
  <sheetFormatPr defaultRowHeight="14.25" x14ac:dyDescent="0.2"/>
  <cols>
    <col min="1" max="1" width="52.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162</v>
      </c>
    </row>
    <row r="3" spans="1:4" x14ac:dyDescent="0.2">
      <c r="A3" t="s">
        <v>172</v>
      </c>
      <c r="B3">
        <v>7</v>
      </c>
      <c r="C3">
        <v>32</v>
      </c>
    </row>
    <row r="4" spans="1:4" x14ac:dyDescent="0.2">
      <c r="A4" t="s">
        <v>163</v>
      </c>
    </row>
    <row r="5" spans="1:4" x14ac:dyDescent="0.2">
      <c r="A5" t="s">
        <v>173</v>
      </c>
      <c r="B5">
        <v>8</v>
      </c>
      <c r="C5">
        <v>51</v>
      </c>
    </row>
    <row r="6" spans="1:4" x14ac:dyDescent="0.2">
      <c r="A6" t="s">
        <v>164</v>
      </c>
    </row>
    <row r="7" spans="1:4" x14ac:dyDescent="0.2">
      <c r="A7" t="s">
        <v>174</v>
      </c>
      <c r="B7">
        <v>48</v>
      </c>
      <c r="C7">
        <v>8</v>
      </c>
    </row>
    <row r="8" spans="1:4" x14ac:dyDescent="0.2">
      <c r="A8" t="s">
        <v>175</v>
      </c>
      <c r="B8">
        <v>104</v>
      </c>
      <c r="C8">
        <v>49</v>
      </c>
    </row>
    <row r="9" spans="1:4" x14ac:dyDescent="0.2">
      <c r="A9" t="s">
        <v>176</v>
      </c>
      <c r="B9">
        <v>1</v>
      </c>
      <c r="C9">
        <v>26</v>
      </c>
    </row>
    <row r="10" spans="1:4" x14ac:dyDescent="0.2">
      <c r="A10" t="s">
        <v>165</v>
      </c>
    </row>
    <row r="11" spans="1:4" x14ac:dyDescent="0.2">
      <c r="A11" t="s">
        <v>177</v>
      </c>
      <c r="B11">
        <v>74</v>
      </c>
      <c r="C11">
        <v>36</v>
      </c>
    </row>
    <row r="12" spans="1:4" x14ac:dyDescent="0.2">
      <c r="A12" t="s">
        <v>178</v>
      </c>
      <c r="B12">
        <v>64</v>
      </c>
      <c r="C12">
        <v>54</v>
      </c>
    </row>
    <row r="13" spans="1:4" x14ac:dyDescent="0.2">
      <c r="A13" t="s">
        <v>179</v>
      </c>
      <c r="B13">
        <v>3</v>
      </c>
      <c r="C13">
        <v>44</v>
      </c>
    </row>
    <row r="14" spans="1:4" x14ac:dyDescent="0.2">
      <c r="A14" t="s">
        <v>180</v>
      </c>
      <c r="B14">
        <v>123</v>
      </c>
      <c r="C14">
        <v>43</v>
      </c>
    </row>
    <row r="15" spans="1:4" x14ac:dyDescent="0.2">
      <c r="A15" t="s">
        <v>166</v>
      </c>
    </row>
    <row r="16" spans="1:4" x14ac:dyDescent="0.2">
      <c r="A16" t="s">
        <v>181</v>
      </c>
      <c r="B16">
        <v>50</v>
      </c>
      <c r="C16">
        <v>38</v>
      </c>
    </row>
    <row r="17" spans="1:3" x14ac:dyDescent="0.2">
      <c r="A17" t="s">
        <v>182</v>
      </c>
      <c r="B17">
        <v>4</v>
      </c>
      <c r="C17">
        <v>42</v>
      </c>
    </row>
    <row r="18" spans="1:3" x14ac:dyDescent="0.2">
      <c r="A18" t="s">
        <v>183</v>
      </c>
      <c r="B18">
        <v>29</v>
      </c>
      <c r="C18">
        <v>16</v>
      </c>
    </row>
    <row r="19" spans="1:3" x14ac:dyDescent="0.2">
      <c r="A19" t="s">
        <v>167</v>
      </c>
    </row>
    <row r="20" spans="1:3" x14ac:dyDescent="0.2">
      <c r="A20" t="s">
        <v>184</v>
      </c>
      <c r="B20">
        <v>33</v>
      </c>
      <c r="C20">
        <v>4</v>
      </c>
    </row>
    <row r="21" spans="1:3" x14ac:dyDescent="0.2">
      <c r="A21" t="s">
        <v>185</v>
      </c>
      <c r="B21">
        <v>4</v>
      </c>
      <c r="C21">
        <v>15</v>
      </c>
    </row>
    <row r="22" spans="1:3" x14ac:dyDescent="0.2">
      <c r="A22" t="s">
        <v>186</v>
      </c>
      <c r="B22">
        <v>14</v>
      </c>
      <c r="C22">
        <v>52</v>
      </c>
    </row>
    <row r="23" spans="1:3" x14ac:dyDescent="0.2">
      <c r="A23" t="s">
        <v>187</v>
      </c>
      <c r="B23">
        <v>23</v>
      </c>
      <c r="C23">
        <v>29</v>
      </c>
    </row>
    <row r="24" spans="1:3" x14ac:dyDescent="0.2">
      <c r="A24" t="s">
        <v>168</v>
      </c>
    </row>
    <row r="25" spans="1:3" x14ac:dyDescent="0.2">
      <c r="A25" t="s">
        <v>188</v>
      </c>
      <c r="B25">
        <v>40</v>
      </c>
      <c r="C25">
        <v>16</v>
      </c>
    </row>
    <row r="26" spans="1:3" x14ac:dyDescent="0.2">
      <c r="A26" t="s">
        <v>189</v>
      </c>
      <c r="B26">
        <v>46</v>
      </c>
      <c r="C26">
        <v>34</v>
      </c>
    </row>
    <row r="27" spans="1:3" x14ac:dyDescent="0.2">
      <c r="A27" t="s">
        <v>169</v>
      </c>
    </row>
    <row r="28" spans="1:3" x14ac:dyDescent="0.2">
      <c r="A28" t="s">
        <v>190</v>
      </c>
      <c r="B28">
        <v>40</v>
      </c>
      <c r="C28">
        <v>17</v>
      </c>
    </row>
    <row r="29" spans="1:3" x14ac:dyDescent="0.2">
      <c r="A29" t="s">
        <v>170</v>
      </c>
    </row>
    <row r="30" spans="1:3" x14ac:dyDescent="0.2">
      <c r="A30" t="s">
        <v>191</v>
      </c>
      <c r="B30">
        <v>17</v>
      </c>
      <c r="C30">
        <v>35</v>
      </c>
    </row>
    <row r="31" spans="1:3" x14ac:dyDescent="0.2">
      <c r="A31" t="s">
        <v>192</v>
      </c>
      <c r="B31">
        <v>61</v>
      </c>
      <c r="C31">
        <v>7</v>
      </c>
    </row>
    <row r="32" spans="1:3" x14ac:dyDescent="0.2">
      <c r="A32" t="s">
        <v>193</v>
      </c>
      <c r="B32">
        <v>21</v>
      </c>
      <c r="C32">
        <v>21</v>
      </c>
    </row>
    <row r="33" spans="1:3" x14ac:dyDescent="0.2">
      <c r="A33" t="s">
        <v>194</v>
      </c>
      <c r="B33">
        <v>47</v>
      </c>
      <c r="C33">
        <v>7</v>
      </c>
    </row>
    <row r="34" spans="1:3" x14ac:dyDescent="0.2">
      <c r="A34" t="s">
        <v>195</v>
      </c>
      <c r="B34">
        <v>49</v>
      </c>
      <c r="C34">
        <v>2</v>
      </c>
    </row>
    <row r="35" spans="1:3" x14ac:dyDescent="0.2">
      <c r="A35" t="s">
        <v>196</v>
      </c>
      <c r="B35">
        <v>71</v>
      </c>
      <c r="C35">
        <v>25</v>
      </c>
    </row>
    <row r="36" spans="1:3" x14ac:dyDescent="0.2">
      <c r="A36" t="s">
        <v>197</v>
      </c>
      <c r="B36">
        <v>22</v>
      </c>
      <c r="C36">
        <v>0</v>
      </c>
    </row>
    <row r="37" spans="1:3" x14ac:dyDescent="0.2">
      <c r="A37" t="s">
        <v>198</v>
      </c>
      <c r="B37">
        <v>24</v>
      </c>
      <c r="C37">
        <v>41</v>
      </c>
    </row>
    <row r="38" spans="1:3" x14ac:dyDescent="0.2">
      <c r="A38" t="s">
        <v>199</v>
      </c>
      <c r="B38">
        <v>31</v>
      </c>
      <c r="C38">
        <v>45</v>
      </c>
    </row>
    <row r="39" spans="1:3" x14ac:dyDescent="0.2">
      <c r="A39" t="s">
        <v>200</v>
      </c>
      <c r="B39">
        <v>27</v>
      </c>
      <c r="C39">
        <v>32</v>
      </c>
    </row>
    <row r="40" spans="1:3" x14ac:dyDescent="0.2">
      <c r="A40" t="s">
        <v>171</v>
      </c>
    </row>
    <row r="41" spans="1:3" x14ac:dyDescent="0.2">
      <c r="A41" t="s">
        <v>201</v>
      </c>
      <c r="B41">
        <v>14</v>
      </c>
      <c r="C41">
        <v>33</v>
      </c>
    </row>
    <row r="42" spans="1:3" x14ac:dyDescent="0.2">
      <c r="A42" t="s">
        <v>202</v>
      </c>
      <c r="B42">
        <v>32</v>
      </c>
      <c r="C42">
        <v>3</v>
      </c>
    </row>
    <row r="43" spans="1:3" x14ac:dyDescent="0.2">
      <c r="A43" t="s">
        <v>203</v>
      </c>
      <c r="B43">
        <v>15</v>
      </c>
      <c r="C43">
        <v>0</v>
      </c>
    </row>
    <row r="44" spans="1:3" x14ac:dyDescent="0.2">
      <c r="A44" t="s">
        <v>204</v>
      </c>
      <c r="B44">
        <v>35</v>
      </c>
      <c r="C44">
        <v>9</v>
      </c>
    </row>
    <row r="45" spans="1:3" x14ac:dyDescent="0.2">
      <c r="A45" t="s">
        <v>205</v>
      </c>
      <c r="B45">
        <v>40</v>
      </c>
      <c r="C45">
        <v>44</v>
      </c>
    </row>
    <row r="46" spans="1:3" x14ac:dyDescent="0.2">
      <c r="A46" t="s">
        <v>206</v>
      </c>
      <c r="B46">
        <v>32</v>
      </c>
      <c r="C46">
        <v>42</v>
      </c>
    </row>
    <row r="47" spans="1:3" x14ac:dyDescent="0.2">
      <c r="A47" s="23" t="str">
        <f>"总时长："&amp;TEXT(SUM(B:B)/1440+SUM(C:C)/86400,"[h]:mm:ss")</f>
        <v>总时长：21:08:52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D3B80-1D2B-41F2-9997-2425A74C9955}">
  <sheetPr codeName="Sheet4"/>
  <dimension ref="A1:D89"/>
  <sheetViews>
    <sheetView topLeftCell="A65" workbookViewId="0">
      <selection activeCell="A90" sqref="A90"/>
    </sheetView>
  </sheetViews>
  <sheetFormatPr defaultRowHeight="14.25" x14ac:dyDescent="0.2"/>
  <cols>
    <col min="1" max="1" width="46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t="s">
        <v>75</v>
      </c>
      <c r="B2">
        <v>44</v>
      </c>
      <c r="C2">
        <v>0</v>
      </c>
    </row>
    <row r="3" spans="1:4" x14ac:dyDescent="0.2">
      <c r="A3" t="s">
        <v>88</v>
      </c>
      <c r="B3">
        <v>49</v>
      </c>
      <c r="C3">
        <v>48</v>
      </c>
    </row>
    <row r="4" spans="1:4" x14ac:dyDescent="0.2">
      <c r="A4" t="s">
        <v>89</v>
      </c>
      <c r="B4">
        <v>1</v>
      </c>
      <c r="C4">
        <v>43</v>
      </c>
    </row>
    <row r="5" spans="1:4" x14ac:dyDescent="0.2">
      <c r="A5" t="s">
        <v>90</v>
      </c>
      <c r="B5">
        <v>37</v>
      </c>
      <c r="C5">
        <v>4</v>
      </c>
    </row>
    <row r="6" spans="1:4" x14ac:dyDescent="0.2">
      <c r="A6" t="s">
        <v>91</v>
      </c>
    </row>
    <row r="7" spans="1:4" x14ac:dyDescent="0.2">
      <c r="A7" t="s">
        <v>76</v>
      </c>
      <c r="B7">
        <v>58</v>
      </c>
      <c r="C7">
        <v>31</v>
      </c>
    </row>
    <row r="8" spans="1:4" x14ac:dyDescent="0.2">
      <c r="A8" t="s">
        <v>92</v>
      </c>
      <c r="B8">
        <v>26</v>
      </c>
      <c r="C8">
        <v>15</v>
      </c>
    </row>
    <row r="9" spans="1:4" x14ac:dyDescent="0.2">
      <c r="A9" t="s">
        <v>93</v>
      </c>
      <c r="B9">
        <v>7</v>
      </c>
      <c r="C9">
        <v>43</v>
      </c>
    </row>
    <row r="10" spans="1:4" x14ac:dyDescent="0.2">
      <c r="A10" t="s">
        <v>94</v>
      </c>
      <c r="B10">
        <v>50</v>
      </c>
      <c r="C10">
        <v>41</v>
      </c>
    </row>
    <row r="11" spans="1:4" x14ac:dyDescent="0.2">
      <c r="A11" t="s">
        <v>95</v>
      </c>
      <c r="B11">
        <v>12</v>
      </c>
      <c r="C11">
        <v>53</v>
      </c>
    </row>
    <row r="12" spans="1:4" x14ac:dyDescent="0.2">
      <c r="A12" t="s">
        <v>96</v>
      </c>
      <c r="B12">
        <v>36</v>
      </c>
      <c r="C12">
        <v>0</v>
      </c>
    </row>
    <row r="13" spans="1:4" x14ac:dyDescent="0.2">
      <c r="A13" t="s">
        <v>97</v>
      </c>
    </row>
    <row r="14" spans="1:4" x14ac:dyDescent="0.2">
      <c r="A14" t="s">
        <v>77</v>
      </c>
      <c r="B14">
        <v>28</v>
      </c>
      <c r="C14">
        <v>54</v>
      </c>
    </row>
    <row r="15" spans="1:4" x14ac:dyDescent="0.2">
      <c r="A15" t="s">
        <v>98</v>
      </c>
      <c r="B15">
        <v>32</v>
      </c>
      <c r="C15">
        <v>32</v>
      </c>
    </row>
    <row r="16" spans="1:4" x14ac:dyDescent="0.2">
      <c r="A16" t="s">
        <v>99</v>
      </c>
      <c r="B16">
        <v>16</v>
      </c>
      <c r="C16">
        <v>46</v>
      </c>
    </row>
    <row r="17" spans="1:3" x14ac:dyDescent="0.2">
      <c r="A17" t="s">
        <v>100</v>
      </c>
      <c r="B17">
        <v>19</v>
      </c>
      <c r="C17">
        <v>31</v>
      </c>
    </row>
    <row r="18" spans="1:3" x14ac:dyDescent="0.2">
      <c r="A18" t="s">
        <v>101</v>
      </c>
      <c r="B18">
        <v>22</v>
      </c>
      <c r="C18">
        <v>58</v>
      </c>
    </row>
    <row r="19" spans="1:3" x14ac:dyDescent="0.2">
      <c r="A19" t="s">
        <v>102</v>
      </c>
    </row>
    <row r="20" spans="1:3" x14ac:dyDescent="0.2">
      <c r="A20" t="s">
        <v>78</v>
      </c>
      <c r="B20">
        <v>17</v>
      </c>
      <c r="C20">
        <v>5</v>
      </c>
    </row>
    <row r="21" spans="1:3" x14ac:dyDescent="0.2">
      <c r="A21" t="s">
        <v>103</v>
      </c>
      <c r="B21">
        <v>61</v>
      </c>
      <c r="C21">
        <v>31</v>
      </c>
    </row>
    <row r="22" spans="1:3" x14ac:dyDescent="0.2">
      <c r="A22" t="s">
        <v>104</v>
      </c>
    </row>
    <row r="23" spans="1:3" x14ac:dyDescent="0.2">
      <c r="A23" t="s">
        <v>79</v>
      </c>
      <c r="B23">
        <v>41</v>
      </c>
      <c r="C23">
        <v>11</v>
      </c>
    </row>
    <row r="24" spans="1:3" x14ac:dyDescent="0.2">
      <c r="A24" t="s">
        <v>105</v>
      </c>
      <c r="B24">
        <v>75</v>
      </c>
      <c r="C24">
        <v>14</v>
      </c>
    </row>
    <row r="25" spans="1:3" x14ac:dyDescent="0.2">
      <c r="A25" t="s">
        <v>106</v>
      </c>
      <c r="B25">
        <v>61</v>
      </c>
      <c r="C25">
        <v>5</v>
      </c>
    </row>
    <row r="26" spans="1:3" x14ac:dyDescent="0.2">
      <c r="A26" t="s">
        <v>107</v>
      </c>
      <c r="B26">
        <v>58</v>
      </c>
      <c r="C26">
        <v>8</v>
      </c>
    </row>
    <row r="27" spans="1:3" x14ac:dyDescent="0.2">
      <c r="A27" t="s">
        <v>108</v>
      </c>
      <c r="B27">
        <v>20</v>
      </c>
      <c r="C27">
        <v>4</v>
      </c>
    </row>
    <row r="28" spans="1:3" x14ac:dyDescent="0.2">
      <c r="A28" t="s">
        <v>109</v>
      </c>
      <c r="B28">
        <v>34</v>
      </c>
      <c r="C28">
        <v>44</v>
      </c>
    </row>
    <row r="29" spans="1:3" x14ac:dyDescent="0.2">
      <c r="A29" t="s">
        <v>110</v>
      </c>
      <c r="B29">
        <v>36</v>
      </c>
      <c r="C29">
        <v>34</v>
      </c>
    </row>
    <row r="30" spans="1:3" x14ac:dyDescent="0.2">
      <c r="A30" t="s">
        <v>111</v>
      </c>
    </row>
    <row r="31" spans="1:3" x14ac:dyDescent="0.2">
      <c r="A31" t="s">
        <v>80</v>
      </c>
      <c r="B31">
        <v>39</v>
      </c>
      <c r="C31">
        <v>18</v>
      </c>
    </row>
    <row r="32" spans="1:3" x14ac:dyDescent="0.2">
      <c r="A32" t="s">
        <v>112</v>
      </c>
      <c r="B32">
        <v>1</v>
      </c>
      <c r="C32">
        <v>43</v>
      </c>
    </row>
    <row r="33" spans="1:3" x14ac:dyDescent="0.2">
      <c r="A33" t="s">
        <v>113</v>
      </c>
      <c r="B33">
        <v>39</v>
      </c>
      <c r="C33">
        <v>3</v>
      </c>
    </row>
    <row r="34" spans="1:3" x14ac:dyDescent="0.2">
      <c r="A34" t="s">
        <v>114</v>
      </c>
      <c r="B34">
        <v>49</v>
      </c>
      <c r="C34">
        <v>49</v>
      </c>
    </row>
    <row r="35" spans="1:3" x14ac:dyDescent="0.2">
      <c r="A35" t="s">
        <v>115</v>
      </c>
    </row>
    <row r="36" spans="1:3" x14ac:dyDescent="0.2">
      <c r="A36" t="s">
        <v>81</v>
      </c>
      <c r="B36">
        <v>51</v>
      </c>
      <c r="C36">
        <v>31</v>
      </c>
    </row>
    <row r="37" spans="1:3" x14ac:dyDescent="0.2">
      <c r="A37" t="s">
        <v>116</v>
      </c>
      <c r="B37">
        <v>49</v>
      </c>
      <c r="C37">
        <v>36</v>
      </c>
    </row>
    <row r="38" spans="1:3" x14ac:dyDescent="0.2">
      <c r="A38" t="s">
        <v>117</v>
      </c>
      <c r="B38">
        <v>73</v>
      </c>
      <c r="C38">
        <v>27</v>
      </c>
    </row>
    <row r="39" spans="1:3" x14ac:dyDescent="0.2">
      <c r="A39" t="s">
        <v>118</v>
      </c>
      <c r="B39">
        <v>58</v>
      </c>
      <c r="C39">
        <v>56</v>
      </c>
    </row>
    <row r="40" spans="1:3" x14ac:dyDescent="0.2">
      <c r="A40" t="s">
        <v>119</v>
      </c>
      <c r="B40">
        <v>27</v>
      </c>
      <c r="C40">
        <v>33</v>
      </c>
    </row>
    <row r="41" spans="1:3" x14ac:dyDescent="0.2">
      <c r="A41" t="s">
        <v>120</v>
      </c>
      <c r="B41">
        <v>27</v>
      </c>
      <c r="C41">
        <v>25</v>
      </c>
    </row>
    <row r="42" spans="1:3" x14ac:dyDescent="0.2">
      <c r="A42" t="s">
        <v>121</v>
      </c>
      <c r="B42">
        <v>31</v>
      </c>
      <c r="C42">
        <v>9</v>
      </c>
    </row>
    <row r="43" spans="1:3" x14ac:dyDescent="0.2">
      <c r="A43" t="s">
        <v>122</v>
      </c>
      <c r="B43">
        <v>21</v>
      </c>
      <c r="C43">
        <v>11</v>
      </c>
    </row>
    <row r="44" spans="1:3" x14ac:dyDescent="0.2">
      <c r="A44" t="s">
        <v>123</v>
      </c>
      <c r="B44">
        <v>52</v>
      </c>
      <c r="C44">
        <v>46</v>
      </c>
    </row>
    <row r="45" spans="1:3" x14ac:dyDescent="0.2">
      <c r="A45" t="s">
        <v>124</v>
      </c>
      <c r="B45">
        <v>47</v>
      </c>
      <c r="C45">
        <v>54</v>
      </c>
    </row>
    <row r="46" spans="1:3" x14ac:dyDescent="0.2">
      <c r="A46" t="s">
        <v>125</v>
      </c>
    </row>
    <row r="47" spans="1:3" x14ac:dyDescent="0.2">
      <c r="A47" t="s">
        <v>82</v>
      </c>
      <c r="B47">
        <v>14</v>
      </c>
      <c r="C47">
        <v>38</v>
      </c>
    </row>
    <row r="48" spans="1:3" x14ac:dyDescent="0.2">
      <c r="A48" t="s">
        <v>126</v>
      </c>
      <c r="B48">
        <v>13</v>
      </c>
      <c r="C48">
        <v>47</v>
      </c>
    </row>
    <row r="49" spans="1:3" x14ac:dyDescent="0.2">
      <c r="A49" t="s">
        <v>127</v>
      </c>
      <c r="B49">
        <v>84</v>
      </c>
      <c r="C49">
        <v>41</v>
      </c>
    </row>
    <row r="50" spans="1:3" x14ac:dyDescent="0.2">
      <c r="A50" t="s">
        <v>128</v>
      </c>
      <c r="B50">
        <v>52</v>
      </c>
      <c r="C50">
        <v>23</v>
      </c>
    </row>
    <row r="51" spans="1:3" x14ac:dyDescent="0.2">
      <c r="A51" t="s">
        <v>129</v>
      </c>
      <c r="B51">
        <v>89</v>
      </c>
      <c r="C51">
        <v>24</v>
      </c>
    </row>
    <row r="52" spans="1:3" x14ac:dyDescent="0.2">
      <c r="A52" t="s">
        <v>130</v>
      </c>
      <c r="B52">
        <v>29</v>
      </c>
      <c r="C52">
        <v>4</v>
      </c>
    </row>
    <row r="53" spans="1:3" x14ac:dyDescent="0.2">
      <c r="A53" t="s">
        <v>131</v>
      </c>
      <c r="B53">
        <v>27</v>
      </c>
      <c r="C53">
        <v>0</v>
      </c>
    </row>
    <row r="54" spans="1:3" x14ac:dyDescent="0.2">
      <c r="A54" t="s">
        <v>132</v>
      </c>
    </row>
    <row r="55" spans="1:3" x14ac:dyDescent="0.2">
      <c r="A55" t="s">
        <v>83</v>
      </c>
      <c r="B55">
        <v>9</v>
      </c>
      <c r="C55">
        <v>46</v>
      </c>
    </row>
    <row r="56" spans="1:3" x14ac:dyDescent="0.2">
      <c r="A56" t="s">
        <v>133</v>
      </c>
      <c r="B56">
        <v>35</v>
      </c>
      <c r="C56">
        <v>37</v>
      </c>
    </row>
    <row r="57" spans="1:3" x14ac:dyDescent="0.2">
      <c r="A57" t="s">
        <v>134</v>
      </c>
      <c r="B57">
        <v>34</v>
      </c>
      <c r="C57">
        <v>8</v>
      </c>
    </row>
    <row r="58" spans="1:3" x14ac:dyDescent="0.2">
      <c r="A58" t="s">
        <v>135</v>
      </c>
      <c r="B58">
        <v>49</v>
      </c>
      <c r="C58">
        <v>17</v>
      </c>
    </row>
    <row r="59" spans="1:3" x14ac:dyDescent="0.2">
      <c r="A59" t="s">
        <v>136</v>
      </c>
      <c r="B59">
        <v>5</v>
      </c>
      <c r="C59">
        <v>42</v>
      </c>
    </row>
    <row r="60" spans="1:3" x14ac:dyDescent="0.2">
      <c r="A60" t="s">
        <v>137</v>
      </c>
      <c r="B60">
        <v>9</v>
      </c>
      <c r="C60">
        <v>17</v>
      </c>
    </row>
    <row r="61" spans="1:3" x14ac:dyDescent="0.2">
      <c r="A61" t="s">
        <v>138</v>
      </c>
      <c r="B61">
        <v>21</v>
      </c>
      <c r="C61">
        <v>45</v>
      </c>
    </row>
    <row r="62" spans="1:3" x14ac:dyDescent="0.2">
      <c r="A62" t="s">
        <v>139</v>
      </c>
      <c r="B62">
        <v>17</v>
      </c>
      <c r="C62">
        <v>5</v>
      </c>
    </row>
    <row r="63" spans="1:3" x14ac:dyDescent="0.2">
      <c r="A63" t="s">
        <v>140</v>
      </c>
      <c r="B63">
        <v>84</v>
      </c>
      <c r="C63">
        <v>51</v>
      </c>
    </row>
    <row r="64" spans="1:3" x14ac:dyDescent="0.2">
      <c r="A64" t="s">
        <v>141</v>
      </c>
      <c r="B64">
        <v>49</v>
      </c>
      <c r="C64">
        <v>26</v>
      </c>
    </row>
    <row r="65" spans="1:3" x14ac:dyDescent="0.2">
      <c r="A65" t="s">
        <v>142</v>
      </c>
    </row>
    <row r="66" spans="1:3" x14ac:dyDescent="0.2">
      <c r="A66" t="s">
        <v>84</v>
      </c>
      <c r="B66">
        <v>58</v>
      </c>
      <c r="C66">
        <v>31</v>
      </c>
    </row>
    <row r="67" spans="1:3" x14ac:dyDescent="0.2">
      <c r="A67" t="s">
        <v>143</v>
      </c>
      <c r="B67">
        <v>38</v>
      </c>
      <c r="C67">
        <v>35</v>
      </c>
    </row>
    <row r="68" spans="1:3" x14ac:dyDescent="0.2">
      <c r="A68" t="s">
        <v>144</v>
      </c>
      <c r="B68">
        <v>72</v>
      </c>
      <c r="C68">
        <v>1</v>
      </c>
    </row>
    <row r="69" spans="1:3" x14ac:dyDescent="0.2">
      <c r="A69" t="s">
        <v>145</v>
      </c>
      <c r="B69">
        <v>23</v>
      </c>
      <c r="C69">
        <v>49</v>
      </c>
    </row>
    <row r="70" spans="1:3" x14ac:dyDescent="0.2">
      <c r="A70" t="s">
        <v>146</v>
      </c>
      <c r="B70">
        <v>51</v>
      </c>
      <c r="C70">
        <v>5</v>
      </c>
    </row>
    <row r="71" spans="1:3" x14ac:dyDescent="0.2">
      <c r="A71" t="s">
        <v>147</v>
      </c>
    </row>
    <row r="72" spans="1:3" x14ac:dyDescent="0.2">
      <c r="A72" t="s">
        <v>85</v>
      </c>
      <c r="B72">
        <v>35</v>
      </c>
      <c r="C72">
        <v>41</v>
      </c>
    </row>
    <row r="73" spans="1:3" x14ac:dyDescent="0.2">
      <c r="A73" t="s">
        <v>148</v>
      </c>
      <c r="B73">
        <v>19</v>
      </c>
      <c r="C73">
        <v>54</v>
      </c>
    </row>
    <row r="74" spans="1:3" x14ac:dyDescent="0.2">
      <c r="A74" t="s">
        <v>149</v>
      </c>
      <c r="B74">
        <v>64</v>
      </c>
      <c r="C74">
        <v>1</v>
      </c>
    </row>
    <row r="75" spans="1:3" x14ac:dyDescent="0.2">
      <c r="A75" t="s">
        <v>150</v>
      </c>
      <c r="B75">
        <v>129</v>
      </c>
      <c r="C75">
        <v>19</v>
      </c>
    </row>
    <row r="76" spans="1:3" x14ac:dyDescent="0.2">
      <c r="A76" t="s">
        <v>151</v>
      </c>
      <c r="B76">
        <v>31</v>
      </c>
      <c r="C76">
        <v>13</v>
      </c>
    </row>
    <row r="77" spans="1:3" x14ac:dyDescent="0.2">
      <c r="A77" t="s">
        <v>152</v>
      </c>
      <c r="B77">
        <v>76</v>
      </c>
      <c r="C77">
        <v>1</v>
      </c>
    </row>
    <row r="78" spans="1:3" x14ac:dyDescent="0.2">
      <c r="A78" t="s">
        <v>153</v>
      </c>
      <c r="B78">
        <v>42</v>
      </c>
      <c r="C78">
        <v>47</v>
      </c>
    </row>
    <row r="79" spans="1:3" x14ac:dyDescent="0.2">
      <c r="A79" t="s">
        <v>154</v>
      </c>
      <c r="B79">
        <v>54</v>
      </c>
      <c r="C79">
        <v>35</v>
      </c>
    </row>
    <row r="80" spans="1:3" x14ac:dyDescent="0.2">
      <c r="A80" t="s">
        <v>155</v>
      </c>
      <c r="B80">
        <v>56</v>
      </c>
      <c r="C80">
        <v>42</v>
      </c>
    </row>
    <row r="81" spans="1:3" x14ac:dyDescent="0.2">
      <c r="A81" t="s">
        <v>156</v>
      </c>
      <c r="B81">
        <v>54</v>
      </c>
      <c r="C81">
        <v>38</v>
      </c>
    </row>
    <row r="82" spans="1:3" x14ac:dyDescent="0.2">
      <c r="A82" t="s">
        <v>157</v>
      </c>
    </row>
    <row r="83" spans="1:3" x14ac:dyDescent="0.2">
      <c r="A83" t="s">
        <v>86</v>
      </c>
      <c r="B83">
        <v>28</v>
      </c>
      <c r="C83">
        <v>41</v>
      </c>
    </row>
    <row r="84" spans="1:3" x14ac:dyDescent="0.2">
      <c r="A84" t="s">
        <v>158</v>
      </c>
      <c r="B84">
        <v>21</v>
      </c>
      <c r="C84">
        <v>59</v>
      </c>
    </row>
    <row r="85" spans="1:3" x14ac:dyDescent="0.2">
      <c r="A85" t="s">
        <v>159</v>
      </c>
    </row>
    <row r="86" spans="1:3" x14ac:dyDescent="0.2">
      <c r="A86" t="s">
        <v>87</v>
      </c>
      <c r="B86">
        <v>14</v>
      </c>
      <c r="C86">
        <v>33</v>
      </c>
    </row>
    <row r="87" spans="1:3" x14ac:dyDescent="0.2">
      <c r="A87" t="s">
        <v>160</v>
      </c>
      <c r="B87">
        <v>0</v>
      </c>
      <c r="C87">
        <v>45</v>
      </c>
    </row>
    <row r="88" spans="1:3" x14ac:dyDescent="0.2">
      <c r="A88" t="s">
        <v>161</v>
      </c>
      <c r="B88">
        <v>0</v>
      </c>
      <c r="C88">
        <v>45</v>
      </c>
    </row>
    <row r="89" spans="1:3" x14ac:dyDescent="0.2">
      <c r="A89" s="23" t="str">
        <f>"总时长："&amp;TEXT(SUM(B:B)/1440+SUM(C:C)/86400,"[h]:mm:ss")</f>
        <v>总时长：48:45:42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799BE-9F84-4BAB-8CB9-C9B281CC6A64}">
  <sheetPr codeName="Sheet5"/>
  <dimension ref="A1:D9"/>
  <sheetViews>
    <sheetView workbookViewId="0">
      <selection activeCell="A10" sqref="A10"/>
    </sheetView>
  </sheetViews>
  <sheetFormatPr defaultRowHeight="14.25" x14ac:dyDescent="0.2"/>
  <cols>
    <col min="1" max="1" width="22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207</v>
      </c>
      <c r="B2">
        <v>34</v>
      </c>
      <c r="C2">
        <v>26</v>
      </c>
    </row>
    <row r="3" spans="1:4" ht="15.75" x14ac:dyDescent="0.2">
      <c r="A3" s="24" t="s">
        <v>208</v>
      </c>
      <c r="B3">
        <v>33</v>
      </c>
      <c r="C3">
        <v>32</v>
      </c>
    </row>
    <row r="4" spans="1:4" ht="15.75" x14ac:dyDescent="0.2">
      <c r="A4" s="24" t="s">
        <v>209</v>
      </c>
      <c r="B4">
        <v>53</v>
      </c>
      <c r="C4">
        <v>27</v>
      </c>
    </row>
    <row r="5" spans="1:4" ht="15.75" x14ac:dyDescent="0.2">
      <c r="A5" s="24" t="s">
        <v>210</v>
      </c>
      <c r="B5">
        <v>7</v>
      </c>
      <c r="C5">
        <v>49</v>
      </c>
    </row>
    <row r="6" spans="1:4" ht="15.75" x14ac:dyDescent="0.2">
      <c r="A6" s="24" t="s">
        <v>211</v>
      </c>
      <c r="B6">
        <v>54</v>
      </c>
      <c r="C6">
        <v>18</v>
      </c>
    </row>
    <row r="7" spans="1:4" ht="15.75" x14ac:dyDescent="0.2">
      <c r="A7" s="24" t="s">
        <v>212</v>
      </c>
      <c r="B7">
        <v>33</v>
      </c>
      <c r="C7">
        <v>34</v>
      </c>
    </row>
    <row r="8" spans="1:4" ht="15.75" x14ac:dyDescent="0.2">
      <c r="A8" s="24" t="s">
        <v>213</v>
      </c>
      <c r="B8">
        <v>41</v>
      </c>
      <c r="C8">
        <v>12</v>
      </c>
    </row>
    <row r="9" spans="1:4" x14ac:dyDescent="0.2">
      <c r="A9" s="23" t="str">
        <f>"总时长："&amp;TEXT(SUM(B:B)/1440+SUM(C:C)/86400,"[h]:mm:ss")</f>
        <v>总时长：4:18:18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92B752-814C-4C87-B89E-FD54022B7B26}">
  <sheetPr codeName="Sheet6"/>
  <dimension ref="A1:D17"/>
  <sheetViews>
    <sheetView workbookViewId="0">
      <selection activeCell="A17" sqref="A17"/>
    </sheetView>
  </sheetViews>
  <sheetFormatPr defaultRowHeight="14.25" x14ac:dyDescent="0.2"/>
  <cols>
    <col min="1" max="1" width="30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ht="15.75" x14ac:dyDescent="0.2">
      <c r="A2" s="24" t="s">
        <v>286</v>
      </c>
      <c r="B2">
        <v>31</v>
      </c>
      <c r="C2">
        <v>47</v>
      </c>
    </row>
    <row r="3" spans="1:4" ht="15.75" x14ac:dyDescent="0.2">
      <c r="A3" s="24" t="s">
        <v>287</v>
      </c>
      <c r="B3">
        <v>33</v>
      </c>
      <c r="C3">
        <v>8</v>
      </c>
    </row>
    <row r="4" spans="1:4" ht="15.75" x14ac:dyDescent="0.2">
      <c r="A4" s="24" t="s">
        <v>288</v>
      </c>
      <c r="B4">
        <v>21</v>
      </c>
      <c r="C4">
        <v>33</v>
      </c>
    </row>
    <row r="5" spans="1:4" ht="15.75" x14ac:dyDescent="0.2">
      <c r="A5" s="24" t="s">
        <v>289</v>
      </c>
      <c r="B5">
        <v>14</v>
      </c>
      <c r="C5">
        <v>32</v>
      </c>
    </row>
    <row r="6" spans="1:4" ht="15.75" x14ac:dyDescent="0.2">
      <c r="A6" s="24" t="s">
        <v>290</v>
      </c>
      <c r="B6">
        <v>17</v>
      </c>
      <c r="C6">
        <v>56</v>
      </c>
    </row>
    <row r="7" spans="1:4" ht="15.75" x14ac:dyDescent="0.2">
      <c r="A7" s="24" t="s">
        <v>291</v>
      </c>
      <c r="B7">
        <v>28</v>
      </c>
      <c r="C7">
        <v>40</v>
      </c>
    </row>
    <row r="8" spans="1:4" ht="15.75" x14ac:dyDescent="0.2">
      <c r="A8" s="24" t="s">
        <v>292</v>
      </c>
      <c r="B8">
        <v>20</v>
      </c>
      <c r="C8">
        <v>42</v>
      </c>
    </row>
    <row r="9" spans="1:4" ht="15.75" x14ac:dyDescent="0.2">
      <c r="A9" s="24" t="s">
        <v>293</v>
      </c>
      <c r="B9">
        <v>31</v>
      </c>
      <c r="C9">
        <v>53</v>
      </c>
    </row>
    <row r="10" spans="1:4" ht="15.75" x14ac:dyDescent="0.2">
      <c r="A10" s="24" t="s">
        <v>294</v>
      </c>
      <c r="B10">
        <v>19</v>
      </c>
      <c r="C10">
        <v>45</v>
      </c>
    </row>
    <row r="11" spans="1:4" ht="15.75" x14ac:dyDescent="0.2">
      <c r="A11" s="24" t="s">
        <v>295</v>
      </c>
      <c r="B11">
        <v>7</v>
      </c>
      <c r="C11">
        <v>15</v>
      </c>
    </row>
    <row r="12" spans="1:4" ht="15.75" x14ac:dyDescent="0.2">
      <c r="A12" s="24" t="s">
        <v>296</v>
      </c>
      <c r="B12">
        <v>25</v>
      </c>
      <c r="C12">
        <v>46</v>
      </c>
    </row>
    <row r="13" spans="1:4" ht="15.75" x14ac:dyDescent="0.2">
      <c r="A13" s="24" t="s">
        <v>297</v>
      </c>
      <c r="B13">
        <v>29</v>
      </c>
      <c r="C13">
        <v>31</v>
      </c>
    </row>
    <row r="14" spans="1:4" ht="15.75" x14ac:dyDescent="0.2">
      <c r="A14" s="24" t="s">
        <v>298</v>
      </c>
      <c r="B14">
        <v>13</v>
      </c>
      <c r="C14">
        <v>45</v>
      </c>
    </row>
    <row r="15" spans="1:4" ht="15.75" x14ac:dyDescent="0.2">
      <c r="A15" s="24" t="s">
        <v>299</v>
      </c>
      <c r="B15">
        <v>18</v>
      </c>
      <c r="C15">
        <v>43</v>
      </c>
    </row>
    <row r="16" spans="1:4" ht="15.75" x14ac:dyDescent="0.2">
      <c r="A16" s="24" t="s">
        <v>300</v>
      </c>
      <c r="B16">
        <v>8</v>
      </c>
      <c r="C16">
        <v>38</v>
      </c>
    </row>
    <row r="17" spans="1:1" x14ac:dyDescent="0.2">
      <c r="A17" s="23" t="str">
        <f>"总时长："&amp;TEXT(SUM(B:B)/1440+SUM(C:C)/86400,"[h]:mm:ss")</f>
        <v>总时长：5:23:34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8994BB-162C-4327-BF62-6D3636325352}">
  <sheetPr codeName="Sheet7"/>
  <dimension ref="A1:O99"/>
  <sheetViews>
    <sheetView topLeftCell="B74" workbookViewId="0">
      <selection activeCell="G99" sqref="G99"/>
    </sheetView>
  </sheetViews>
  <sheetFormatPr defaultRowHeight="14.25" x14ac:dyDescent="0.2"/>
  <cols>
    <col min="1" max="1" width="61.75" bestFit="1" customWidth="1"/>
    <col min="2" max="2" width="9.625" customWidth="1"/>
    <col min="3" max="3" width="9.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4" x14ac:dyDescent="0.2">
      <c r="A2" s="39" t="s">
        <v>214</v>
      </c>
      <c r="B2" s="17"/>
      <c r="C2" s="17"/>
      <c r="D2" s="28"/>
    </row>
    <row r="3" spans="1:4" x14ac:dyDescent="0.2">
      <c r="A3" s="41" t="s">
        <v>172</v>
      </c>
      <c r="B3" s="20">
        <v>7</v>
      </c>
      <c r="C3" s="20">
        <v>32</v>
      </c>
      <c r="D3" s="29"/>
    </row>
    <row r="4" spans="1:4" x14ac:dyDescent="0.2">
      <c r="A4" s="39" t="s">
        <v>163</v>
      </c>
      <c r="B4" s="17"/>
      <c r="C4" s="17"/>
      <c r="D4" s="28"/>
    </row>
    <row r="5" spans="1:4" x14ac:dyDescent="0.2">
      <c r="A5" s="42" t="s">
        <v>173</v>
      </c>
      <c r="B5" s="20">
        <v>8</v>
      </c>
      <c r="C5" s="20">
        <v>51</v>
      </c>
      <c r="D5" s="29"/>
    </row>
    <row r="6" spans="1:4" x14ac:dyDescent="0.2">
      <c r="A6" s="39" t="s">
        <v>215</v>
      </c>
      <c r="B6" s="17"/>
      <c r="C6" s="17"/>
      <c r="D6" s="28"/>
    </row>
    <row r="7" spans="1:4" x14ac:dyDescent="0.2">
      <c r="A7" s="42" t="s">
        <v>239</v>
      </c>
      <c r="B7" s="20">
        <v>63</v>
      </c>
      <c r="C7" s="20">
        <v>16</v>
      </c>
      <c r="D7" s="29"/>
    </row>
    <row r="8" spans="1:4" x14ac:dyDescent="0.2">
      <c r="A8" s="40" t="s">
        <v>240</v>
      </c>
      <c r="B8" s="17">
        <v>103</v>
      </c>
      <c r="C8" s="17">
        <v>16</v>
      </c>
      <c r="D8" s="28"/>
    </row>
    <row r="9" spans="1:4" x14ac:dyDescent="0.2">
      <c r="A9" s="42" t="s">
        <v>176</v>
      </c>
      <c r="B9" s="20">
        <v>1</v>
      </c>
      <c r="C9" s="20">
        <v>26</v>
      </c>
      <c r="D9" s="29"/>
    </row>
    <row r="10" spans="1:4" x14ac:dyDescent="0.2">
      <c r="A10" s="39" t="s">
        <v>216</v>
      </c>
      <c r="B10" s="17"/>
      <c r="C10" s="17"/>
      <c r="D10" s="28"/>
    </row>
    <row r="11" spans="1:4" x14ac:dyDescent="0.2">
      <c r="A11" s="42" t="s">
        <v>241</v>
      </c>
      <c r="B11" s="20">
        <v>42</v>
      </c>
      <c r="C11" s="20">
        <v>4</v>
      </c>
      <c r="D11" s="29"/>
    </row>
    <row r="12" spans="1:4" x14ac:dyDescent="0.2">
      <c r="A12" s="40" t="s">
        <v>242</v>
      </c>
      <c r="B12" s="17">
        <v>111</v>
      </c>
      <c r="C12" s="17">
        <v>20</v>
      </c>
      <c r="D12" s="28"/>
    </row>
    <row r="13" spans="1:4" x14ac:dyDescent="0.2">
      <c r="A13" s="42" t="s">
        <v>179</v>
      </c>
      <c r="B13" s="20">
        <v>3</v>
      </c>
      <c r="C13" s="20">
        <v>44</v>
      </c>
      <c r="D13" s="29"/>
    </row>
    <row r="14" spans="1:4" x14ac:dyDescent="0.2">
      <c r="A14" s="39" t="s">
        <v>217</v>
      </c>
      <c r="B14" s="17"/>
      <c r="C14" s="17"/>
      <c r="D14" s="28"/>
    </row>
    <row r="15" spans="1:4" x14ac:dyDescent="0.2">
      <c r="A15" s="42" t="s">
        <v>243</v>
      </c>
      <c r="B15" s="20">
        <v>61</v>
      </c>
      <c r="C15" s="20">
        <v>38</v>
      </c>
      <c r="D15" s="29"/>
    </row>
    <row r="16" spans="1:4" x14ac:dyDescent="0.2">
      <c r="A16" s="40" t="s">
        <v>244</v>
      </c>
      <c r="B16" s="17">
        <v>84</v>
      </c>
      <c r="C16" s="17">
        <v>34</v>
      </c>
      <c r="D16" s="28"/>
    </row>
    <row r="17" spans="1:4" x14ac:dyDescent="0.2">
      <c r="A17" s="38" t="s">
        <v>218</v>
      </c>
      <c r="B17" s="20"/>
      <c r="C17" s="20"/>
      <c r="D17" s="29"/>
    </row>
    <row r="18" spans="1:4" x14ac:dyDescent="0.2">
      <c r="A18" s="40" t="s">
        <v>245</v>
      </c>
      <c r="B18" s="17">
        <v>56</v>
      </c>
      <c r="C18" s="17">
        <v>6</v>
      </c>
      <c r="D18" s="28"/>
    </row>
    <row r="19" spans="1:4" x14ac:dyDescent="0.2">
      <c r="A19" s="42" t="s">
        <v>246</v>
      </c>
      <c r="B19" s="20">
        <v>23</v>
      </c>
      <c r="C19" s="20">
        <v>32</v>
      </c>
      <c r="D19" s="29"/>
    </row>
    <row r="20" spans="1:4" x14ac:dyDescent="0.2">
      <c r="A20" s="39" t="s">
        <v>219</v>
      </c>
      <c r="B20" s="17"/>
      <c r="C20" s="17"/>
      <c r="D20" s="28"/>
    </row>
    <row r="21" spans="1:4" x14ac:dyDescent="0.2">
      <c r="A21" s="42" t="s">
        <v>247</v>
      </c>
      <c r="B21" s="20">
        <v>100</v>
      </c>
      <c r="C21" s="20">
        <v>26</v>
      </c>
      <c r="D21" s="29"/>
    </row>
    <row r="22" spans="1:4" x14ac:dyDescent="0.2">
      <c r="A22" s="40" t="s">
        <v>185</v>
      </c>
      <c r="B22" s="17">
        <v>4</v>
      </c>
      <c r="C22" s="17">
        <v>15</v>
      </c>
      <c r="D22" s="28"/>
    </row>
    <row r="23" spans="1:4" x14ac:dyDescent="0.2">
      <c r="A23" s="42" t="s">
        <v>248</v>
      </c>
      <c r="B23" s="20">
        <v>50</v>
      </c>
      <c r="C23" s="20">
        <v>5</v>
      </c>
      <c r="D23" s="29"/>
    </row>
    <row r="24" spans="1:4" x14ac:dyDescent="0.2">
      <c r="A24" s="40" t="s">
        <v>220</v>
      </c>
      <c r="B24" s="17"/>
      <c r="C24" s="17"/>
      <c r="D24" s="28"/>
    </row>
    <row r="25" spans="1:4" x14ac:dyDescent="0.2">
      <c r="A25" s="42" t="s">
        <v>249</v>
      </c>
      <c r="B25" s="20">
        <v>25</v>
      </c>
      <c r="C25" s="20">
        <v>21</v>
      </c>
      <c r="D25" s="29"/>
    </row>
    <row r="26" spans="1:4" x14ac:dyDescent="0.2">
      <c r="A26" s="39" t="s">
        <v>221</v>
      </c>
      <c r="B26" s="17"/>
      <c r="C26" s="17"/>
      <c r="D26" s="28"/>
    </row>
    <row r="27" spans="1:4" x14ac:dyDescent="0.2">
      <c r="A27" s="42" t="s">
        <v>250</v>
      </c>
      <c r="B27" s="20">
        <v>41</v>
      </c>
      <c r="C27" s="20">
        <v>51</v>
      </c>
      <c r="D27" s="29"/>
    </row>
    <row r="28" spans="1:4" x14ac:dyDescent="0.2">
      <c r="A28" s="40" t="s">
        <v>251</v>
      </c>
      <c r="B28" s="17">
        <v>77</v>
      </c>
      <c r="C28" s="17">
        <v>38</v>
      </c>
      <c r="D28" s="28"/>
    </row>
    <row r="29" spans="1:4" x14ac:dyDescent="0.2">
      <c r="A29" s="42" t="s">
        <v>252</v>
      </c>
      <c r="B29" s="20">
        <v>42</v>
      </c>
      <c r="C29" s="20">
        <v>43</v>
      </c>
      <c r="D29" s="29"/>
    </row>
    <row r="30" spans="1:4" x14ac:dyDescent="0.2">
      <c r="A30" s="40" t="s">
        <v>253</v>
      </c>
      <c r="B30" s="17">
        <v>146</v>
      </c>
      <c r="C30" s="17">
        <v>2</v>
      </c>
      <c r="D30" s="28"/>
    </row>
    <row r="31" spans="1:4" x14ac:dyDescent="0.2">
      <c r="A31" s="38" t="s">
        <v>222</v>
      </c>
      <c r="B31" s="20"/>
      <c r="C31" s="20"/>
      <c r="D31" s="29"/>
    </row>
    <row r="32" spans="1:4" x14ac:dyDescent="0.2">
      <c r="A32" s="40" t="s">
        <v>254</v>
      </c>
      <c r="B32" s="17">
        <v>58</v>
      </c>
      <c r="C32" s="17">
        <v>21</v>
      </c>
      <c r="D32" s="28"/>
    </row>
    <row r="33" spans="1:4" x14ac:dyDescent="0.2">
      <c r="A33" s="42" t="s">
        <v>255</v>
      </c>
      <c r="B33" s="20">
        <v>71</v>
      </c>
      <c r="C33" s="20">
        <v>4</v>
      </c>
      <c r="D33" s="29"/>
    </row>
    <row r="34" spans="1:4" x14ac:dyDescent="0.2">
      <c r="A34" s="39" t="s">
        <v>223</v>
      </c>
      <c r="B34" s="17"/>
      <c r="C34" s="17"/>
      <c r="D34" s="28"/>
    </row>
    <row r="35" spans="1:4" x14ac:dyDescent="0.2">
      <c r="A35" s="42" t="s">
        <v>256</v>
      </c>
      <c r="B35" s="20">
        <v>41</v>
      </c>
      <c r="C35" s="20">
        <v>29</v>
      </c>
      <c r="D35" s="29"/>
    </row>
    <row r="36" spans="1:4" x14ac:dyDescent="0.2">
      <c r="A36" s="40" t="s">
        <v>257</v>
      </c>
      <c r="B36" s="17">
        <v>110</v>
      </c>
      <c r="C36" s="17">
        <v>37</v>
      </c>
      <c r="D36" s="28"/>
    </row>
    <row r="37" spans="1:4" x14ac:dyDescent="0.2">
      <c r="A37" s="42" t="s">
        <v>258</v>
      </c>
      <c r="B37" s="20">
        <v>2</v>
      </c>
      <c r="C37" s="20">
        <v>33</v>
      </c>
      <c r="D37" s="29"/>
    </row>
    <row r="38" spans="1:4" x14ac:dyDescent="0.2">
      <c r="A38" s="39" t="s">
        <v>224</v>
      </c>
      <c r="B38" s="17"/>
      <c r="C38" s="17"/>
      <c r="D38" s="28"/>
    </row>
    <row r="39" spans="1:4" x14ac:dyDescent="0.2">
      <c r="A39" s="42" t="s">
        <v>259</v>
      </c>
      <c r="B39" s="20">
        <v>54</v>
      </c>
      <c r="C39" s="20">
        <v>18</v>
      </c>
      <c r="D39" s="29"/>
    </row>
    <row r="40" spans="1:4" x14ac:dyDescent="0.2">
      <c r="A40" s="40" t="s">
        <v>260</v>
      </c>
      <c r="B40" s="17">
        <v>71</v>
      </c>
      <c r="C40" s="17">
        <v>40</v>
      </c>
      <c r="D40" s="28"/>
    </row>
    <row r="41" spans="1:4" x14ac:dyDescent="0.2">
      <c r="A41" s="38" t="s">
        <v>225</v>
      </c>
      <c r="B41" s="20"/>
      <c r="C41" s="20"/>
      <c r="D41" s="29"/>
    </row>
    <row r="42" spans="1:4" x14ac:dyDescent="0.2">
      <c r="A42" s="40" t="s">
        <v>261</v>
      </c>
      <c r="B42" s="17">
        <v>56</v>
      </c>
      <c r="C42" s="17">
        <v>31</v>
      </c>
      <c r="D42" s="28"/>
    </row>
    <row r="43" spans="1:4" x14ac:dyDescent="0.2">
      <c r="A43" s="42" t="s">
        <v>262</v>
      </c>
      <c r="B43" s="20">
        <v>53</v>
      </c>
      <c r="C43" s="20">
        <v>3</v>
      </c>
      <c r="D43" s="29"/>
    </row>
    <row r="44" spans="1:4" x14ac:dyDescent="0.2">
      <c r="A44" s="39" t="s">
        <v>226</v>
      </c>
      <c r="B44" s="17"/>
      <c r="C44" s="17"/>
      <c r="D44" s="28"/>
    </row>
    <row r="45" spans="1:4" x14ac:dyDescent="0.2">
      <c r="A45" s="42" t="s">
        <v>263</v>
      </c>
      <c r="B45" s="20">
        <v>32</v>
      </c>
      <c r="C45" s="20">
        <v>27</v>
      </c>
      <c r="D45" s="29"/>
    </row>
    <row r="46" spans="1:4" x14ac:dyDescent="0.2">
      <c r="A46" s="40" t="s">
        <v>264</v>
      </c>
      <c r="B46" s="17">
        <v>86</v>
      </c>
      <c r="C46" s="17">
        <v>52</v>
      </c>
      <c r="D46" s="28"/>
    </row>
    <row r="47" spans="1:4" x14ac:dyDescent="0.2">
      <c r="A47" s="42" t="s">
        <v>265</v>
      </c>
      <c r="B47" s="20">
        <v>20</v>
      </c>
      <c r="C47" s="20">
        <v>19</v>
      </c>
      <c r="D47" s="29"/>
    </row>
    <row r="48" spans="1:4" x14ac:dyDescent="0.2">
      <c r="A48" s="39" t="s">
        <v>227</v>
      </c>
      <c r="B48" s="17"/>
      <c r="C48" s="17"/>
      <c r="D48" s="28"/>
    </row>
    <row r="49" spans="1:4" x14ac:dyDescent="0.2">
      <c r="A49" s="42" t="s">
        <v>190</v>
      </c>
      <c r="B49" s="20">
        <v>40</v>
      </c>
      <c r="C49" s="20">
        <v>17</v>
      </c>
      <c r="D49" s="29"/>
    </row>
    <row r="50" spans="1:4" x14ac:dyDescent="0.2">
      <c r="A50" s="39" t="s">
        <v>228</v>
      </c>
      <c r="B50" s="17"/>
      <c r="C50" s="17"/>
      <c r="D50" s="28"/>
    </row>
    <row r="51" spans="1:4" x14ac:dyDescent="0.2">
      <c r="A51" s="42" t="s">
        <v>266</v>
      </c>
      <c r="B51" s="20">
        <v>26</v>
      </c>
      <c r="C51" s="20">
        <v>51</v>
      </c>
      <c r="D51" s="29"/>
    </row>
    <row r="52" spans="1:4" x14ac:dyDescent="0.2">
      <c r="A52" s="40" t="s">
        <v>267</v>
      </c>
      <c r="B52" s="17">
        <v>75</v>
      </c>
      <c r="C52" s="17">
        <v>3</v>
      </c>
      <c r="D52" s="28"/>
    </row>
    <row r="53" spans="1:4" x14ac:dyDescent="0.2">
      <c r="A53" s="38" t="s">
        <v>229</v>
      </c>
      <c r="B53" s="20"/>
      <c r="C53" s="20"/>
      <c r="D53" s="29"/>
    </row>
    <row r="54" spans="1:4" x14ac:dyDescent="0.2">
      <c r="A54" s="40" t="s">
        <v>268</v>
      </c>
      <c r="B54" s="17">
        <v>53</v>
      </c>
      <c r="C54" s="17">
        <v>31</v>
      </c>
      <c r="D54" s="28"/>
    </row>
    <row r="55" spans="1:4" x14ac:dyDescent="0.2">
      <c r="A55" s="42" t="s">
        <v>269</v>
      </c>
      <c r="B55" s="20">
        <v>62</v>
      </c>
      <c r="C55" s="20">
        <v>46</v>
      </c>
      <c r="D55" s="29"/>
    </row>
    <row r="56" spans="1:4" x14ac:dyDescent="0.2">
      <c r="A56" s="39" t="s">
        <v>230</v>
      </c>
      <c r="B56" s="17"/>
      <c r="C56" s="17"/>
      <c r="D56" s="28"/>
    </row>
    <row r="57" spans="1:4" x14ac:dyDescent="0.2">
      <c r="A57" s="42" t="s">
        <v>270</v>
      </c>
      <c r="B57" s="20">
        <v>97</v>
      </c>
      <c r="C57" s="20">
        <v>50</v>
      </c>
      <c r="D57" s="29"/>
    </row>
    <row r="58" spans="1:4" x14ac:dyDescent="0.2">
      <c r="A58" s="39" t="s">
        <v>231</v>
      </c>
      <c r="B58" s="17"/>
      <c r="C58" s="17"/>
      <c r="D58" s="28"/>
    </row>
    <row r="59" spans="1:4" x14ac:dyDescent="0.2">
      <c r="A59" s="42" t="s">
        <v>271</v>
      </c>
      <c r="B59" s="20">
        <v>33</v>
      </c>
      <c r="C59" s="20">
        <v>38</v>
      </c>
      <c r="D59" s="29"/>
    </row>
    <row r="60" spans="1:4" x14ac:dyDescent="0.2">
      <c r="A60" s="43" t="s">
        <v>272</v>
      </c>
      <c r="B60" s="17">
        <v>69</v>
      </c>
      <c r="C60" s="17">
        <v>48</v>
      </c>
      <c r="D60" s="28"/>
    </row>
    <row r="61" spans="1:4" x14ac:dyDescent="0.2">
      <c r="A61" s="42" t="s">
        <v>273</v>
      </c>
      <c r="B61" s="20">
        <v>4</v>
      </c>
      <c r="C61" s="20">
        <v>31</v>
      </c>
      <c r="D61" s="29"/>
    </row>
    <row r="62" spans="1:4" x14ac:dyDescent="0.2">
      <c r="A62" s="39" t="s">
        <v>232</v>
      </c>
      <c r="B62" s="17"/>
      <c r="C62" s="17"/>
      <c r="D62" s="28"/>
    </row>
    <row r="63" spans="1:4" x14ac:dyDescent="0.2">
      <c r="A63" s="42" t="s">
        <v>274</v>
      </c>
      <c r="B63" s="20">
        <v>51</v>
      </c>
      <c r="C63" s="20">
        <v>33</v>
      </c>
      <c r="D63" s="29"/>
    </row>
    <row r="64" spans="1:4" x14ac:dyDescent="0.2">
      <c r="A64" s="40" t="s">
        <v>275</v>
      </c>
      <c r="B64" s="17">
        <v>23</v>
      </c>
      <c r="C64" s="17">
        <v>1</v>
      </c>
      <c r="D64" s="28"/>
    </row>
    <row r="65" spans="1:4" x14ac:dyDescent="0.2">
      <c r="A65" s="42" t="s">
        <v>276</v>
      </c>
      <c r="B65" s="20">
        <v>5</v>
      </c>
      <c r="C65" s="20">
        <v>33</v>
      </c>
      <c r="D65" s="29"/>
    </row>
    <row r="66" spans="1:4" x14ac:dyDescent="0.2">
      <c r="A66" s="39" t="s">
        <v>233</v>
      </c>
      <c r="B66" s="17"/>
      <c r="C66" s="17"/>
      <c r="D66" s="28"/>
    </row>
    <row r="67" spans="1:4" x14ac:dyDescent="0.2">
      <c r="A67" s="42" t="s">
        <v>277</v>
      </c>
      <c r="B67" s="20">
        <v>81</v>
      </c>
      <c r="C67" s="20">
        <v>3</v>
      </c>
      <c r="D67" s="29"/>
    </row>
    <row r="68" spans="1:4" x14ac:dyDescent="0.2">
      <c r="A68" s="40" t="s">
        <v>278</v>
      </c>
      <c r="B68" s="17">
        <v>59</v>
      </c>
      <c r="C68" s="17">
        <v>9</v>
      </c>
      <c r="D68" s="28"/>
    </row>
    <row r="69" spans="1:4" x14ac:dyDescent="0.2">
      <c r="A69" s="38" t="s">
        <v>234</v>
      </c>
      <c r="B69" s="20"/>
      <c r="C69" s="20"/>
      <c r="D69" s="29"/>
    </row>
    <row r="70" spans="1:4" x14ac:dyDescent="0.2">
      <c r="A70" s="40" t="s">
        <v>279</v>
      </c>
      <c r="B70" s="17">
        <v>22</v>
      </c>
      <c r="C70" s="17">
        <v>36</v>
      </c>
      <c r="D70" s="28"/>
    </row>
    <row r="71" spans="1:4" x14ac:dyDescent="0.2">
      <c r="A71" s="42" t="s">
        <v>280</v>
      </c>
      <c r="B71" s="20">
        <v>64</v>
      </c>
      <c r="C71" s="20">
        <v>12</v>
      </c>
      <c r="D71" s="29"/>
    </row>
    <row r="72" spans="1:4" x14ac:dyDescent="0.2">
      <c r="A72" s="39" t="s">
        <v>235</v>
      </c>
      <c r="B72" s="17"/>
      <c r="C72" s="17"/>
      <c r="D72" s="28"/>
    </row>
    <row r="73" spans="1:4" x14ac:dyDescent="0.2">
      <c r="A73" s="42" t="s">
        <v>281</v>
      </c>
      <c r="B73" s="20">
        <v>98</v>
      </c>
      <c r="C73" s="20">
        <v>21</v>
      </c>
      <c r="D73" s="29"/>
    </row>
    <row r="74" spans="1:4" x14ac:dyDescent="0.2">
      <c r="A74" s="39" t="s">
        <v>236</v>
      </c>
      <c r="B74" s="17"/>
      <c r="C74" s="17"/>
      <c r="D74" s="28"/>
    </row>
    <row r="75" spans="1:4" x14ac:dyDescent="0.2">
      <c r="A75" s="42" t="s">
        <v>282</v>
      </c>
      <c r="B75" s="20">
        <v>75</v>
      </c>
      <c r="C75" s="20">
        <v>24</v>
      </c>
      <c r="D75" s="29"/>
    </row>
    <row r="76" spans="1:4" x14ac:dyDescent="0.2">
      <c r="A76" s="42" t="s">
        <v>283</v>
      </c>
      <c r="B76" s="20">
        <v>29</v>
      </c>
      <c r="C76" s="20">
        <v>56</v>
      </c>
      <c r="D76" s="29"/>
    </row>
    <row r="77" spans="1:4" x14ac:dyDescent="0.2">
      <c r="A77" s="39" t="s">
        <v>237</v>
      </c>
      <c r="B77" s="17"/>
      <c r="C77" s="17"/>
      <c r="D77" s="28"/>
    </row>
    <row r="78" spans="1:4" x14ac:dyDescent="0.2">
      <c r="A78" s="42" t="s">
        <v>284</v>
      </c>
      <c r="B78" s="20">
        <v>64</v>
      </c>
      <c r="C78" s="20">
        <v>10</v>
      </c>
      <c r="D78" s="29"/>
    </row>
    <row r="79" spans="1:4" x14ac:dyDescent="0.2">
      <c r="A79" s="40" t="s">
        <v>285</v>
      </c>
      <c r="B79" s="17">
        <v>78</v>
      </c>
      <c r="C79" s="17">
        <v>7</v>
      </c>
      <c r="D79" s="28"/>
    </row>
    <row r="80" spans="1:4" x14ac:dyDescent="0.2">
      <c r="A80" s="38" t="s">
        <v>238</v>
      </c>
      <c r="B80" s="20"/>
      <c r="C80" s="20"/>
      <c r="D80" s="29"/>
    </row>
    <row r="81" spans="1:15" x14ac:dyDescent="0.2">
      <c r="A81" s="40" t="s">
        <v>188</v>
      </c>
      <c r="B81" s="17">
        <v>40</v>
      </c>
      <c r="C81" s="17">
        <v>16</v>
      </c>
      <c r="D81" s="28"/>
      <c r="H81" s="25" t="s">
        <v>301</v>
      </c>
      <c r="I81" s="25" t="s">
        <v>302</v>
      </c>
      <c r="J81" s="25" t="s">
        <v>303</v>
      </c>
      <c r="K81" s="25" t="s">
        <v>599</v>
      </c>
    </row>
    <row r="82" spans="1:15" x14ac:dyDescent="0.2">
      <c r="A82" s="44" t="s">
        <v>189</v>
      </c>
      <c r="B82" s="7">
        <v>46</v>
      </c>
      <c r="C82" s="7">
        <v>34</v>
      </c>
      <c r="D82" s="27"/>
      <c r="H82" s="25">
        <v>21</v>
      </c>
      <c r="I82" s="25">
        <v>8</v>
      </c>
      <c r="J82" s="25">
        <v>52</v>
      </c>
      <c r="K82" s="25">
        <v>1</v>
      </c>
    </row>
    <row r="83" spans="1:15" x14ac:dyDescent="0.2">
      <c r="A83" s="23" t="str">
        <f>"总时长："&amp;TEXT(SUM(B:B)/1440+SUM(C:C)/86400,"[h]:mm:ss")</f>
        <v>总时长：48:39:04</v>
      </c>
      <c r="H83" s="25">
        <v>48</v>
      </c>
      <c r="I83" s="25">
        <v>39</v>
      </c>
      <c r="J83" s="25">
        <v>4</v>
      </c>
      <c r="K83" s="25">
        <v>2</v>
      </c>
    </row>
    <row r="84" spans="1:15" x14ac:dyDescent="0.2">
      <c r="H84" s="25">
        <v>48</v>
      </c>
      <c r="I84" s="25">
        <v>45</v>
      </c>
      <c r="J84" s="25">
        <v>42</v>
      </c>
      <c r="K84" s="25">
        <v>3</v>
      </c>
    </row>
    <row r="85" spans="1:15" x14ac:dyDescent="0.2">
      <c r="H85" s="25">
        <v>4</v>
      </c>
      <c r="I85" s="25">
        <v>18</v>
      </c>
      <c r="J85" s="25">
        <v>18</v>
      </c>
      <c r="K85" s="25">
        <v>4</v>
      </c>
    </row>
    <row r="86" spans="1:15" x14ac:dyDescent="0.2">
      <c r="H86" s="25">
        <v>5</v>
      </c>
      <c r="I86" s="25">
        <v>23</v>
      </c>
      <c r="J86" s="25">
        <v>34</v>
      </c>
      <c r="K86" s="25">
        <v>5</v>
      </c>
    </row>
    <row r="87" spans="1:15" x14ac:dyDescent="0.2">
      <c r="H87" s="25">
        <v>22</v>
      </c>
      <c r="I87" s="25">
        <v>14</v>
      </c>
      <c r="J87" s="25">
        <v>57</v>
      </c>
      <c r="K87" s="25">
        <v>6</v>
      </c>
    </row>
    <row r="88" spans="1:15" x14ac:dyDescent="0.2">
      <c r="H88" s="25">
        <v>17</v>
      </c>
      <c r="I88" s="25">
        <v>4</v>
      </c>
      <c r="J88" s="25">
        <v>17</v>
      </c>
      <c r="K88" s="25">
        <v>7</v>
      </c>
    </row>
    <row r="89" spans="1:15" x14ac:dyDescent="0.2">
      <c r="G89" s="26" t="str">
        <f>TEXT(SUM(H82:H89)/24+SUM(I82:I89)/1440+SUM(J82:J89)/86400,"[h]:m:s")</f>
        <v>174:31:40</v>
      </c>
      <c r="H89" s="25">
        <v>6</v>
      </c>
      <c r="I89" s="25">
        <v>56</v>
      </c>
      <c r="J89" s="25">
        <v>56</v>
      </c>
      <c r="K89" s="25">
        <v>8</v>
      </c>
    </row>
    <row r="90" spans="1:15" x14ac:dyDescent="0.2">
      <c r="H90" s="25">
        <v>10</v>
      </c>
      <c r="I90" s="25">
        <v>30</v>
      </c>
      <c r="J90" s="25">
        <v>6</v>
      </c>
      <c r="K90" s="25">
        <v>9</v>
      </c>
    </row>
    <row r="91" spans="1:15" x14ac:dyDescent="0.2">
      <c r="K91" s="25">
        <v>10</v>
      </c>
      <c r="M91" s="25">
        <v>79</v>
      </c>
      <c r="N91" s="25">
        <v>3</v>
      </c>
      <c r="O91" s="25">
        <v>38</v>
      </c>
    </row>
    <row r="92" spans="1:15" x14ac:dyDescent="0.2">
      <c r="H92" s="25">
        <v>4</v>
      </c>
      <c r="I92" s="25">
        <v>23</v>
      </c>
      <c r="J92" s="25">
        <v>29</v>
      </c>
      <c r="K92" s="25">
        <v>11</v>
      </c>
    </row>
    <row r="93" spans="1:15" x14ac:dyDescent="0.2">
      <c r="H93" s="25">
        <v>7</v>
      </c>
      <c r="I93" s="25">
        <v>32</v>
      </c>
      <c r="J93" s="25">
        <v>31</v>
      </c>
      <c r="K93" s="25">
        <v>12</v>
      </c>
    </row>
    <row r="94" spans="1:15" x14ac:dyDescent="0.2">
      <c r="H94" s="25">
        <v>3</v>
      </c>
      <c r="I94" s="25">
        <v>2</v>
      </c>
      <c r="J94" s="25">
        <v>48</v>
      </c>
      <c r="K94" s="25">
        <v>13</v>
      </c>
    </row>
    <row r="95" spans="1:15" x14ac:dyDescent="0.2">
      <c r="H95" s="25">
        <v>4</v>
      </c>
      <c r="I95" s="25">
        <v>57</v>
      </c>
      <c r="J95" s="25">
        <v>7</v>
      </c>
      <c r="K95" s="25">
        <v>14</v>
      </c>
    </row>
    <row r="96" spans="1:15" x14ac:dyDescent="0.2">
      <c r="H96" s="25">
        <v>7</v>
      </c>
      <c r="I96" s="25">
        <v>34</v>
      </c>
      <c r="J96" s="25">
        <v>27</v>
      </c>
      <c r="K96" s="25">
        <v>15</v>
      </c>
    </row>
    <row r="97" spans="7:15" x14ac:dyDescent="0.2">
      <c r="K97" s="51">
        <v>16</v>
      </c>
      <c r="M97" s="25">
        <v>8</v>
      </c>
      <c r="N97" s="25">
        <v>7</v>
      </c>
      <c r="O97" s="25">
        <v>22</v>
      </c>
    </row>
    <row r="98" spans="7:15" x14ac:dyDescent="0.2">
      <c r="H98" s="25">
        <v>28</v>
      </c>
      <c r="I98" s="25">
        <v>1</v>
      </c>
      <c r="J98" s="25">
        <v>5</v>
      </c>
      <c r="K98" s="52">
        <v>17</v>
      </c>
    </row>
    <row r="99" spans="7:15" x14ac:dyDescent="0.2">
      <c r="G99" s="26" t="str">
        <f>TEXT(SUM(H90:H99)/24+SUM(I90:I99)/1440+SUM(J90:J99)/86400,"[h]:m:s")</f>
        <v>82:32:17</v>
      </c>
      <c r="H99" s="25">
        <v>16</v>
      </c>
      <c r="I99" s="25">
        <v>30</v>
      </c>
      <c r="J99" s="25">
        <v>44</v>
      </c>
      <c r="K99" s="52">
        <v>18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0A7672-DAE8-47CE-809E-69717AE44590}">
  <sheetPr codeName="Sheet1"/>
  <dimension ref="A1:F37"/>
  <sheetViews>
    <sheetView topLeftCell="A19" workbookViewId="0">
      <selection activeCell="D37" sqref="D37"/>
    </sheetView>
  </sheetViews>
  <sheetFormatPr defaultRowHeight="14.25" x14ac:dyDescent="0.2"/>
  <cols>
    <col min="1" max="1" width="28.75" bestFit="1" customWidth="1"/>
    <col min="2" max="2" width="12.375" bestFit="1" customWidth="1"/>
    <col min="3" max="3" width="12.5" bestFit="1" customWidth="1"/>
    <col min="4" max="4" width="8.625" bestFit="1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38</v>
      </c>
    </row>
    <row r="2" spans="1:6" x14ac:dyDescent="0.2">
      <c r="A2" s="16" t="s">
        <v>0</v>
      </c>
      <c r="B2" s="17">
        <v>13</v>
      </c>
      <c r="C2" s="17">
        <v>12</v>
      </c>
      <c r="D2" s="18">
        <v>1</v>
      </c>
    </row>
    <row r="3" spans="1:6" x14ac:dyDescent="0.2">
      <c r="A3" s="19" t="s">
        <v>1</v>
      </c>
      <c r="B3" s="20">
        <v>29</v>
      </c>
      <c r="C3" s="20">
        <v>9</v>
      </c>
      <c r="D3" s="21">
        <v>1</v>
      </c>
    </row>
    <row r="4" spans="1:6" x14ac:dyDescent="0.2">
      <c r="A4" s="16" t="s">
        <v>2</v>
      </c>
      <c r="B4" s="17">
        <v>36</v>
      </c>
      <c r="C4" s="17">
        <v>18</v>
      </c>
      <c r="D4" s="18">
        <v>1</v>
      </c>
    </row>
    <row r="5" spans="1:6" x14ac:dyDescent="0.2">
      <c r="A5" s="19" t="s">
        <v>3</v>
      </c>
      <c r="B5" s="20">
        <v>17</v>
      </c>
      <c r="C5" s="20">
        <v>23</v>
      </c>
      <c r="D5" s="21">
        <v>1</v>
      </c>
    </row>
    <row r="6" spans="1:6" x14ac:dyDescent="0.2">
      <c r="A6" s="16" t="s">
        <v>4</v>
      </c>
      <c r="B6" s="17">
        <v>51</v>
      </c>
      <c r="C6" s="17">
        <v>29</v>
      </c>
      <c r="D6" s="18">
        <v>2</v>
      </c>
    </row>
    <row r="7" spans="1:6" x14ac:dyDescent="0.2">
      <c r="A7" s="19" t="s">
        <v>31</v>
      </c>
      <c r="B7" s="20">
        <v>30</v>
      </c>
      <c r="C7" s="20">
        <v>10</v>
      </c>
      <c r="D7" s="21">
        <v>3</v>
      </c>
    </row>
    <row r="8" spans="1:6" x14ac:dyDescent="0.2">
      <c r="A8" s="16" t="s">
        <v>32</v>
      </c>
      <c r="B8" s="17">
        <v>48</v>
      </c>
      <c r="C8" s="17">
        <v>48</v>
      </c>
      <c r="D8" s="18">
        <v>4</v>
      </c>
      <c r="F8" t="str">
        <f>TEXT(SUM(B2:B8)/1440+SUM(C2:C8)/86400,"[h]:mm:ss")</f>
        <v>3:46:29</v>
      </c>
    </row>
    <row r="9" spans="1:6" x14ac:dyDescent="0.2">
      <c r="A9" s="19" t="s">
        <v>33</v>
      </c>
      <c r="B9" s="20">
        <v>22</v>
      </c>
      <c r="C9" s="20">
        <v>54</v>
      </c>
      <c r="D9" s="21">
        <v>5</v>
      </c>
    </row>
    <row r="10" spans="1:6" x14ac:dyDescent="0.2">
      <c r="A10" s="16" t="s">
        <v>34</v>
      </c>
      <c r="B10" s="17">
        <v>18</v>
      </c>
      <c r="C10" s="17">
        <v>0</v>
      </c>
      <c r="D10" s="18">
        <v>6</v>
      </c>
    </row>
    <row r="11" spans="1:6" x14ac:dyDescent="0.2">
      <c r="A11" s="19" t="s">
        <v>5</v>
      </c>
      <c r="B11" s="20">
        <v>54</v>
      </c>
      <c r="C11" s="20">
        <v>44</v>
      </c>
      <c r="D11" s="21">
        <v>7</v>
      </c>
    </row>
    <row r="12" spans="1:6" x14ac:dyDescent="0.2">
      <c r="A12" s="16" t="s">
        <v>6</v>
      </c>
      <c r="B12" s="17">
        <v>60</v>
      </c>
      <c r="C12" s="17">
        <v>6</v>
      </c>
      <c r="D12" s="18">
        <v>8</v>
      </c>
    </row>
    <row r="13" spans="1:6" x14ac:dyDescent="0.2">
      <c r="A13" s="19" t="s">
        <v>7</v>
      </c>
      <c r="B13" s="20">
        <v>27</v>
      </c>
      <c r="C13" s="20">
        <v>52</v>
      </c>
      <c r="D13" s="21">
        <v>9</v>
      </c>
    </row>
    <row r="14" spans="1:6" x14ac:dyDescent="0.2">
      <c r="A14" s="16" t="s">
        <v>8</v>
      </c>
      <c r="B14" s="17">
        <v>29</v>
      </c>
      <c r="C14" s="17">
        <v>47</v>
      </c>
      <c r="D14" s="18">
        <v>9</v>
      </c>
      <c r="F14" t="str">
        <f>TEXT(SUM(B9:B14)/1440+SUM(C9:C14)/86400,"[h]:mm:ss")</f>
        <v>3:33:23</v>
      </c>
    </row>
    <row r="15" spans="1:6" x14ac:dyDescent="0.2">
      <c r="A15" s="19" t="s">
        <v>9</v>
      </c>
      <c r="B15" s="20">
        <v>45</v>
      </c>
      <c r="C15" s="20">
        <v>4</v>
      </c>
      <c r="D15" s="21">
        <v>10</v>
      </c>
    </row>
    <row r="16" spans="1:6" x14ac:dyDescent="0.2">
      <c r="A16" s="16" t="s">
        <v>10</v>
      </c>
      <c r="B16" s="17">
        <v>17</v>
      </c>
      <c r="C16" s="17">
        <v>24</v>
      </c>
      <c r="D16" s="18">
        <v>10</v>
      </c>
    </row>
    <row r="17" spans="1:6" x14ac:dyDescent="0.2">
      <c r="A17" s="19" t="s">
        <v>11</v>
      </c>
      <c r="B17" s="20">
        <v>38</v>
      </c>
      <c r="C17" s="20">
        <v>39</v>
      </c>
      <c r="D17" s="21">
        <v>11</v>
      </c>
    </row>
    <row r="18" spans="1:6" x14ac:dyDescent="0.2">
      <c r="A18" s="16" t="s">
        <v>12</v>
      </c>
      <c r="B18" s="17">
        <v>50</v>
      </c>
      <c r="C18" s="17">
        <v>11</v>
      </c>
      <c r="D18" s="18">
        <v>12</v>
      </c>
    </row>
    <row r="19" spans="1:6" x14ac:dyDescent="0.2">
      <c r="A19" s="19" t="s">
        <v>13</v>
      </c>
      <c r="B19" s="20">
        <v>22</v>
      </c>
      <c r="C19" s="20">
        <v>46</v>
      </c>
      <c r="D19" s="21">
        <v>12</v>
      </c>
    </row>
    <row r="20" spans="1:6" x14ac:dyDescent="0.2">
      <c r="A20" s="16" t="s">
        <v>14</v>
      </c>
      <c r="B20" s="17">
        <v>51</v>
      </c>
      <c r="C20" s="17">
        <v>20</v>
      </c>
      <c r="D20" s="18">
        <v>13</v>
      </c>
      <c r="F20" t="str">
        <f>TEXT(SUM(B15:B20)/1440+SUM(C15:C20)/86400,"[h]:mm:ss")</f>
        <v>3:45:24</v>
      </c>
    </row>
    <row r="21" spans="1:6" x14ac:dyDescent="0.2">
      <c r="A21" s="19" t="s">
        <v>15</v>
      </c>
      <c r="B21" s="20">
        <v>19</v>
      </c>
      <c r="C21" s="20">
        <v>35</v>
      </c>
      <c r="D21" s="21">
        <v>14</v>
      </c>
    </row>
    <row r="22" spans="1:6" x14ac:dyDescent="0.2">
      <c r="A22" s="16" t="s">
        <v>16</v>
      </c>
      <c r="B22" s="17">
        <v>40</v>
      </c>
      <c r="C22" s="17">
        <v>12</v>
      </c>
      <c r="D22" s="18">
        <v>14</v>
      </c>
    </row>
    <row r="23" spans="1:6" x14ac:dyDescent="0.2">
      <c r="A23" s="19" t="s">
        <v>17</v>
      </c>
      <c r="B23" s="20">
        <v>48</v>
      </c>
      <c r="C23" s="20">
        <v>54</v>
      </c>
      <c r="D23" s="21">
        <v>15</v>
      </c>
    </row>
    <row r="24" spans="1:6" x14ac:dyDescent="0.2">
      <c r="A24" s="16" t="s">
        <v>18</v>
      </c>
      <c r="B24" s="17">
        <v>40</v>
      </c>
      <c r="C24" s="17">
        <v>6</v>
      </c>
      <c r="D24" s="18">
        <v>16</v>
      </c>
    </row>
    <row r="25" spans="1:6" x14ac:dyDescent="0.2">
      <c r="A25" s="19" t="s">
        <v>19</v>
      </c>
      <c r="B25" s="20">
        <v>85</v>
      </c>
      <c r="C25" s="20">
        <v>11</v>
      </c>
      <c r="D25" s="21">
        <v>17</v>
      </c>
      <c r="F25" t="str">
        <f>TEXT(SUM(B21:B25)/1440+SUM(C21:C25)/86400,"[h]:mm:ss")</f>
        <v>3:53:58</v>
      </c>
    </row>
    <row r="26" spans="1:6" x14ac:dyDescent="0.2">
      <c r="A26" s="16" t="s">
        <v>20</v>
      </c>
      <c r="B26" s="17">
        <v>69</v>
      </c>
      <c r="C26" s="17">
        <v>38</v>
      </c>
      <c r="D26" s="18">
        <v>18</v>
      </c>
    </row>
    <row r="27" spans="1:6" x14ac:dyDescent="0.2">
      <c r="A27" s="19" t="s">
        <v>21</v>
      </c>
      <c r="B27" s="20">
        <v>38</v>
      </c>
      <c r="C27" s="20">
        <v>24</v>
      </c>
      <c r="D27" s="21">
        <v>19</v>
      </c>
    </row>
    <row r="28" spans="1:6" x14ac:dyDescent="0.2">
      <c r="A28" s="16" t="s">
        <v>22</v>
      </c>
      <c r="B28" s="17">
        <v>45</v>
      </c>
      <c r="C28" s="17">
        <v>12</v>
      </c>
      <c r="D28" s="18">
        <v>19</v>
      </c>
    </row>
    <row r="29" spans="1:6" x14ac:dyDescent="0.2">
      <c r="A29" s="19" t="s">
        <v>23</v>
      </c>
      <c r="B29" s="20">
        <v>27</v>
      </c>
      <c r="C29" s="20">
        <v>56</v>
      </c>
      <c r="D29" s="21">
        <v>20</v>
      </c>
    </row>
    <row r="30" spans="1:6" x14ac:dyDescent="0.2">
      <c r="A30" s="16" t="s">
        <v>24</v>
      </c>
      <c r="B30" s="17">
        <v>52</v>
      </c>
      <c r="C30" s="17">
        <v>48</v>
      </c>
      <c r="D30" s="18">
        <v>20</v>
      </c>
    </row>
    <row r="31" spans="1:6" x14ac:dyDescent="0.2">
      <c r="A31" s="19" t="s">
        <v>25</v>
      </c>
      <c r="B31" s="20">
        <v>14</v>
      </c>
      <c r="C31" s="20">
        <v>4</v>
      </c>
      <c r="D31" s="21">
        <v>21</v>
      </c>
    </row>
    <row r="32" spans="1:6" x14ac:dyDescent="0.2">
      <c r="A32" s="16" t="s">
        <v>26</v>
      </c>
      <c r="B32" s="17">
        <v>25</v>
      </c>
      <c r="C32" s="17">
        <v>42</v>
      </c>
      <c r="D32" s="18">
        <v>21</v>
      </c>
      <c r="F32" t="str">
        <f>TEXT(SUM(B26:B31)/1440+SUM(C26:C31)/86400,"[h]:mm:ss")</f>
        <v>4:08:02</v>
      </c>
    </row>
    <row r="33" spans="1:6" x14ac:dyDescent="0.2">
      <c r="A33" s="19" t="s">
        <v>27</v>
      </c>
      <c r="B33" s="20">
        <v>56</v>
      </c>
      <c r="C33" s="20">
        <v>33</v>
      </c>
      <c r="D33" s="21">
        <v>22</v>
      </c>
    </row>
    <row r="34" spans="1:6" x14ac:dyDescent="0.2">
      <c r="A34" s="16" t="s">
        <v>28</v>
      </c>
      <c r="B34" s="17">
        <v>37</v>
      </c>
      <c r="C34" s="17">
        <v>31</v>
      </c>
      <c r="D34" s="18">
        <v>23</v>
      </c>
    </row>
    <row r="35" spans="1:6" x14ac:dyDescent="0.2">
      <c r="A35" s="19" t="s">
        <v>29</v>
      </c>
      <c r="B35" s="20">
        <v>43</v>
      </c>
      <c r="C35" s="20">
        <v>34</v>
      </c>
      <c r="D35" s="21">
        <v>24</v>
      </c>
    </row>
    <row r="36" spans="1:6" x14ac:dyDescent="0.2">
      <c r="A36" s="4" t="s">
        <v>30</v>
      </c>
      <c r="B36" s="5">
        <v>24</v>
      </c>
      <c r="C36" s="5">
        <v>21</v>
      </c>
      <c r="D36" s="22">
        <v>24</v>
      </c>
      <c r="F36" t="str">
        <f>TEXT(SUM(B33:B36)/1440+SUM(C33:C36)/86400,"[h]:mm:ss")</f>
        <v>2:41:59</v>
      </c>
    </row>
    <row r="37" spans="1:6" x14ac:dyDescent="0.2">
      <c r="A37" s="12" t="str">
        <f>"总时长："&amp;TEXT(SUM(B:B)/1440+SUM(C:C)/86400,"[h]:mm:ss")</f>
        <v>总时长：22:14:57</v>
      </c>
      <c r="B37" s="1"/>
      <c r="C37" s="2"/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A21734-82E6-410A-99C1-87D067456163}">
  <sheetPr codeName="Sheet2"/>
  <dimension ref="A1:D30"/>
  <sheetViews>
    <sheetView topLeftCell="A4" workbookViewId="0">
      <selection activeCell="A30" sqref="A30"/>
    </sheetView>
  </sheetViews>
  <sheetFormatPr defaultRowHeight="14.25" x14ac:dyDescent="0.2"/>
  <cols>
    <col min="1" max="1" width="33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39</v>
      </c>
      <c r="B2" s="54">
        <v>3</v>
      </c>
      <c r="C2" s="54">
        <v>38</v>
      </c>
      <c r="D2" s="55">
        <v>1</v>
      </c>
    </row>
    <row r="3" spans="1:4" x14ac:dyDescent="0.2">
      <c r="A3" s="56" t="s">
        <v>39</v>
      </c>
      <c r="B3" s="57">
        <v>40</v>
      </c>
      <c r="C3" s="57">
        <v>47</v>
      </c>
      <c r="D3" s="58">
        <v>1</v>
      </c>
    </row>
    <row r="4" spans="1:4" x14ac:dyDescent="0.2">
      <c r="A4" s="53" t="s">
        <v>40</v>
      </c>
      <c r="B4" s="54">
        <v>32</v>
      </c>
      <c r="C4" s="54">
        <v>41</v>
      </c>
      <c r="D4" s="55">
        <v>2</v>
      </c>
    </row>
    <row r="5" spans="1:4" x14ac:dyDescent="0.2">
      <c r="A5" s="56" t="s">
        <v>40</v>
      </c>
      <c r="B5" s="57">
        <v>34</v>
      </c>
      <c r="C5" s="57">
        <v>35</v>
      </c>
      <c r="D5" s="58">
        <v>2</v>
      </c>
    </row>
    <row r="6" spans="1:4" x14ac:dyDescent="0.2">
      <c r="A6" s="53" t="s">
        <v>41</v>
      </c>
      <c r="B6" s="54">
        <v>4</v>
      </c>
      <c r="C6" s="54">
        <v>0</v>
      </c>
      <c r="D6" s="55">
        <v>3</v>
      </c>
    </row>
    <row r="7" spans="1:4" x14ac:dyDescent="0.2">
      <c r="A7" s="56" t="s">
        <v>41</v>
      </c>
      <c r="B7" s="57">
        <v>57</v>
      </c>
      <c r="C7" s="57">
        <v>37</v>
      </c>
      <c r="D7" s="58">
        <v>3</v>
      </c>
    </row>
    <row r="8" spans="1:4" x14ac:dyDescent="0.2">
      <c r="A8" s="53" t="s">
        <v>42</v>
      </c>
      <c r="B8" s="54">
        <v>2</v>
      </c>
      <c r="C8" s="54">
        <v>9</v>
      </c>
      <c r="D8" s="55">
        <v>4</v>
      </c>
    </row>
    <row r="9" spans="1:4" x14ac:dyDescent="0.2">
      <c r="A9" s="56" t="s">
        <v>42</v>
      </c>
      <c r="B9" s="57">
        <v>44</v>
      </c>
      <c r="C9" s="57">
        <v>51</v>
      </c>
      <c r="D9" s="58">
        <v>4</v>
      </c>
    </row>
    <row r="10" spans="1:4" x14ac:dyDescent="0.2">
      <c r="A10" s="53" t="s">
        <v>43</v>
      </c>
      <c r="B10" s="54">
        <v>3</v>
      </c>
      <c r="C10" s="54">
        <v>29</v>
      </c>
      <c r="D10" s="55">
        <v>5</v>
      </c>
    </row>
    <row r="11" spans="1:4" x14ac:dyDescent="0.2">
      <c r="A11" s="56" t="s">
        <v>43</v>
      </c>
      <c r="B11" s="57">
        <v>64</v>
      </c>
      <c r="C11" s="57">
        <v>5</v>
      </c>
      <c r="D11" s="58">
        <v>5</v>
      </c>
    </row>
    <row r="12" spans="1:4" x14ac:dyDescent="0.2">
      <c r="A12" s="53" t="s">
        <v>44</v>
      </c>
      <c r="B12" s="54">
        <v>2</v>
      </c>
      <c r="C12" s="54">
        <v>16</v>
      </c>
      <c r="D12" s="55">
        <v>6</v>
      </c>
    </row>
    <row r="13" spans="1:4" x14ac:dyDescent="0.2">
      <c r="A13" s="56" t="s">
        <v>44</v>
      </c>
      <c r="B13" s="57">
        <v>59</v>
      </c>
      <c r="C13" s="57">
        <v>15</v>
      </c>
      <c r="D13" s="58">
        <v>6</v>
      </c>
    </row>
    <row r="14" spans="1:4" x14ac:dyDescent="0.2">
      <c r="A14" s="53" t="s">
        <v>45</v>
      </c>
      <c r="B14" s="54">
        <v>7</v>
      </c>
      <c r="C14" s="54">
        <v>40</v>
      </c>
      <c r="D14" s="55">
        <v>7</v>
      </c>
    </row>
    <row r="15" spans="1:4" x14ac:dyDescent="0.2">
      <c r="A15" s="56" t="s">
        <v>45</v>
      </c>
      <c r="B15" s="57">
        <v>95</v>
      </c>
      <c r="C15" s="57">
        <v>44</v>
      </c>
      <c r="D15" s="58">
        <v>7</v>
      </c>
    </row>
    <row r="16" spans="1:4" x14ac:dyDescent="0.2">
      <c r="A16" s="53" t="s">
        <v>46</v>
      </c>
      <c r="B16" s="54">
        <v>15</v>
      </c>
      <c r="C16" s="54">
        <v>23</v>
      </c>
      <c r="D16" s="55">
        <v>8</v>
      </c>
    </row>
    <row r="17" spans="1:4" x14ac:dyDescent="0.2">
      <c r="A17" s="56" t="s">
        <v>46</v>
      </c>
      <c r="B17" s="57">
        <v>36</v>
      </c>
      <c r="C17" s="57">
        <v>10</v>
      </c>
      <c r="D17" s="58">
        <v>8</v>
      </c>
    </row>
    <row r="18" spans="1:4" x14ac:dyDescent="0.2">
      <c r="A18" s="53" t="s">
        <v>47</v>
      </c>
      <c r="B18" s="54">
        <v>27</v>
      </c>
      <c r="C18" s="54">
        <v>53</v>
      </c>
      <c r="D18" s="55">
        <v>9</v>
      </c>
    </row>
    <row r="19" spans="1:4" x14ac:dyDescent="0.2">
      <c r="A19" s="56" t="s">
        <v>47</v>
      </c>
      <c r="B19" s="57">
        <v>78</v>
      </c>
      <c r="C19" s="57">
        <v>51</v>
      </c>
      <c r="D19" s="58">
        <v>9</v>
      </c>
    </row>
    <row r="20" spans="1:4" x14ac:dyDescent="0.2">
      <c r="A20" s="53" t="s">
        <v>48</v>
      </c>
      <c r="B20" s="54">
        <v>18</v>
      </c>
      <c r="C20" s="54">
        <v>50</v>
      </c>
      <c r="D20" s="55">
        <v>10</v>
      </c>
    </row>
    <row r="21" spans="1:4" x14ac:dyDescent="0.2">
      <c r="A21" s="56" t="s">
        <v>48</v>
      </c>
      <c r="B21" s="57">
        <v>53</v>
      </c>
      <c r="C21" s="57">
        <v>2</v>
      </c>
      <c r="D21" s="58">
        <v>10</v>
      </c>
    </row>
    <row r="22" spans="1:4" x14ac:dyDescent="0.2">
      <c r="A22" s="53" t="s">
        <v>49</v>
      </c>
      <c r="B22" s="54">
        <v>15</v>
      </c>
      <c r="C22" s="54">
        <v>43</v>
      </c>
      <c r="D22" s="55">
        <v>11</v>
      </c>
    </row>
    <row r="23" spans="1:4" x14ac:dyDescent="0.2">
      <c r="A23" s="56" t="s">
        <v>49</v>
      </c>
      <c r="B23" s="57">
        <v>52</v>
      </c>
      <c r="C23" s="57">
        <v>38</v>
      </c>
      <c r="D23" s="58">
        <v>11</v>
      </c>
    </row>
    <row r="24" spans="1:4" x14ac:dyDescent="0.2">
      <c r="A24" s="53" t="s">
        <v>50</v>
      </c>
      <c r="B24" s="54">
        <v>9</v>
      </c>
      <c r="C24" s="54">
        <v>48</v>
      </c>
      <c r="D24" s="55">
        <v>12</v>
      </c>
    </row>
    <row r="25" spans="1:4" x14ac:dyDescent="0.2">
      <c r="A25" s="56" t="s">
        <v>50</v>
      </c>
      <c r="B25" s="57">
        <v>76</v>
      </c>
      <c r="C25" s="57">
        <v>39</v>
      </c>
      <c r="D25" s="58">
        <v>12</v>
      </c>
    </row>
    <row r="26" spans="1:4" x14ac:dyDescent="0.2">
      <c r="A26" s="53" t="s">
        <v>51</v>
      </c>
      <c r="B26" s="54">
        <v>36</v>
      </c>
      <c r="C26" s="54">
        <v>18</v>
      </c>
      <c r="D26" s="55">
        <v>13</v>
      </c>
    </row>
    <row r="27" spans="1:4" x14ac:dyDescent="0.2">
      <c r="A27" s="56" t="s">
        <v>51</v>
      </c>
      <c r="B27" s="57">
        <v>51</v>
      </c>
      <c r="C27" s="57">
        <v>58</v>
      </c>
      <c r="D27" s="58">
        <v>13</v>
      </c>
    </row>
    <row r="28" spans="1:4" x14ac:dyDescent="0.2">
      <c r="A28" s="53" t="s">
        <v>52</v>
      </c>
      <c r="B28" s="54">
        <v>22</v>
      </c>
      <c r="C28" s="54">
        <v>56</v>
      </c>
      <c r="D28" s="55">
        <v>14</v>
      </c>
    </row>
    <row r="29" spans="1:4" x14ac:dyDescent="0.2">
      <c r="A29" s="59" t="s">
        <v>52</v>
      </c>
      <c r="B29" s="60">
        <v>75</v>
      </c>
      <c r="C29" s="60">
        <v>21</v>
      </c>
      <c r="D29" s="61">
        <v>14</v>
      </c>
    </row>
    <row r="30" spans="1:4" x14ac:dyDescent="0.2">
      <c r="A30" s="11" t="str">
        <f>"总时长："&amp;TEXT(SUM(B:B)/1440+SUM(C:C)/86400,"[h]:mm:ss")</f>
        <v>总时长：17:04:17</v>
      </c>
      <c r="B30" s="3"/>
      <c r="C30" s="3"/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86E1BE-FCFE-4251-B0EC-E291DDB8C47B}">
  <sheetPr codeName="Sheet8"/>
  <dimension ref="A1:D10"/>
  <sheetViews>
    <sheetView workbookViewId="0">
      <selection activeCell="B9" sqref="B9"/>
    </sheetView>
  </sheetViews>
  <sheetFormatPr defaultRowHeight="14.25" x14ac:dyDescent="0.2"/>
  <cols>
    <col min="1" max="1" width="17.75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53" t="s">
        <v>54</v>
      </c>
      <c r="B2" s="54">
        <v>58</v>
      </c>
      <c r="C2" s="54">
        <v>14</v>
      </c>
      <c r="D2" s="55">
        <v>1</v>
      </c>
    </row>
    <row r="3" spans="1:4" x14ac:dyDescent="0.2">
      <c r="A3" s="56" t="s">
        <v>55</v>
      </c>
      <c r="B3" s="57">
        <v>56</v>
      </c>
      <c r="C3" s="57">
        <v>1</v>
      </c>
      <c r="D3" s="58">
        <v>1</v>
      </c>
    </row>
    <row r="4" spans="1:4" x14ac:dyDescent="0.2">
      <c r="A4" s="53" t="s">
        <v>56</v>
      </c>
      <c r="B4" s="54">
        <v>67</v>
      </c>
      <c r="C4" s="54">
        <v>55</v>
      </c>
      <c r="D4" s="55">
        <v>2</v>
      </c>
    </row>
    <row r="5" spans="1:4" x14ac:dyDescent="0.2">
      <c r="A5" s="56" t="s">
        <v>57</v>
      </c>
      <c r="B5" s="57">
        <v>49</v>
      </c>
      <c r="C5" s="57">
        <v>2</v>
      </c>
      <c r="D5" s="58">
        <v>2</v>
      </c>
    </row>
    <row r="6" spans="1:4" x14ac:dyDescent="0.2">
      <c r="A6" s="53" t="s">
        <v>58</v>
      </c>
      <c r="B6" s="54">
        <v>63</v>
      </c>
      <c r="C6" s="54">
        <v>8</v>
      </c>
      <c r="D6" s="55">
        <v>3</v>
      </c>
    </row>
    <row r="7" spans="1:4" x14ac:dyDescent="0.2">
      <c r="A7" s="62" t="s">
        <v>59</v>
      </c>
      <c r="B7" s="57">
        <v>30</v>
      </c>
      <c r="C7" s="57">
        <v>54</v>
      </c>
      <c r="D7" s="58">
        <v>4</v>
      </c>
    </row>
    <row r="8" spans="1:4" x14ac:dyDescent="0.2">
      <c r="A8" s="53" t="s">
        <v>60</v>
      </c>
      <c r="B8" s="54">
        <v>38</v>
      </c>
      <c r="C8" s="54">
        <v>49</v>
      </c>
      <c r="D8" s="55">
        <v>4</v>
      </c>
    </row>
    <row r="9" spans="1:4" x14ac:dyDescent="0.2">
      <c r="A9" s="60" t="s">
        <v>61</v>
      </c>
      <c r="B9" s="60">
        <v>52</v>
      </c>
      <c r="C9" s="60">
        <v>53</v>
      </c>
      <c r="D9" s="61">
        <v>5</v>
      </c>
    </row>
    <row r="10" spans="1:4" x14ac:dyDescent="0.2">
      <c r="A10" s="8" t="str">
        <f>"总时长："&amp;TEXT(SUM(B:B)/1440+SUM(C:C)/86400,"[h]:mm:ss")</f>
        <v>总时长：6:56:56</v>
      </c>
      <c r="B10" s="8"/>
      <c r="C10" s="8"/>
      <c r="D10" s="8"/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7AC606-BCBF-4838-A963-4BC4664217AA}">
  <sheetPr codeName="Sheet9"/>
  <dimension ref="A1:D12"/>
  <sheetViews>
    <sheetView workbookViewId="0">
      <selection activeCell="I9" sqref="I9"/>
    </sheetView>
  </sheetViews>
  <sheetFormatPr defaultRowHeight="14.25" x14ac:dyDescent="0.2"/>
  <cols>
    <col min="1" max="1" width="21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62</v>
      </c>
      <c r="B2" s="54">
        <v>34</v>
      </c>
      <c r="C2" s="54">
        <v>57</v>
      </c>
      <c r="D2" s="55">
        <v>1</v>
      </c>
    </row>
    <row r="3" spans="1:4" x14ac:dyDescent="0.2">
      <c r="A3" s="19" t="s">
        <v>63</v>
      </c>
      <c r="B3" s="57">
        <v>60</v>
      </c>
      <c r="C3" s="57">
        <v>4</v>
      </c>
      <c r="D3" s="58">
        <v>1</v>
      </c>
    </row>
    <row r="4" spans="1:4" x14ac:dyDescent="0.2">
      <c r="A4" s="16" t="s">
        <v>64</v>
      </c>
      <c r="B4" s="54">
        <v>67</v>
      </c>
      <c r="C4" s="54">
        <v>25</v>
      </c>
      <c r="D4" s="55">
        <v>2</v>
      </c>
    </row>
    <row r="5" spans="1:4" x14ac:dyDescent="0.2">
      <c r="A5" s="19" t="s">
        <v>65</v>
      </c>
      <c r="B5" s="57">
        <v>79</v>
      </c>
      <c r="C5" s="57">
        <v>22</v>
      </c>
      <c r="D5" s="58">
        <v>2</v>
      </c>
    </row>
    <row r="6" spans="1:4" x14ac:dyDescent="0.2">
      <c r="A6" s="16" t="s">
        <v>66</v>
      </c>
      <c r="B6" s="54">
        <v>108</v>
      </c>
      <c r="C6" s="54">
        <v>28</v>
      </c>
      <c r="D6" s="55">
        <v>3</v>
      </c>
    </row>
    <row r="7" spans="1:4" x14ac:dyDescent="0.2">
      <c r="A7" s="19" t="s">
        <v>67</v>
      </c>
      <c r="B7" s="57">
        <v>71</v>
      </c>
      <c r="C7" s="57">
        <v>22</v>
      </c>
      <c r="D7" s="58">
        <v>4</v>
      </c>
    </row>
    <row r="8" spans="1:4" x14ac:dyDescent="0.2">
      <c r="A8" s="16" t="s">
        <v>68</v>
      </c>
      <c r="B8" s="54">
        <v>63</v>
      </c>
      <c r="C8" s="54">
        <v>25</v>
      </c>
      <c r="D8" s="55">
        <v>5</v>
      </c>
    </row>
    <row r="9" spans="1:4" x14ac:dyDescent="0.2">
      <c r="A9" s="19" t="s">
        <v>69</v>
      </c>
      <c r="B9" s="57">
        <v>45</v>
      </c>
      <c r="C9" s="57">
        <v>56</v>
      </c>
      <c r="D9" s="58">
        <v>6</v>
      </c>
    </row>
    <row r="10" spans="1:4" x14ac:dyDescent="0.2">
      <c r="A10" s="16" t="s">
        <v>70</v>
      </c>
      <c r="B10" s="54">
        <v>38</v>
      </c>
      <c r="C10" s="54">
        <v>7</v>
      </c>
      <c r="D10" s="55">
        <v>6</v>
      </c>
    </row>
    <row r="11" spans="1:4" x14ac:dyDescent="0.2">
      <c r="A11" s="6" t="s">
        <v>71</v>
      </c>
      <c r="B11" s="60">
        <v>61</v>
      </c>
      <c r="C11" s="60">
        <v>0</v>
      </c>
      <c r="D11" s="61">
        <v>7</v>
      </c>
    </row>
    <row r="12" spans="1:4" x14ac:dyDescent="0.2">
      <c r="A12" s="9" t="str">
        <f>"总时长："&amp;TEXT(SUM(B:B)/1440+SUM(C:C)/86400,"[h]:mm:ss")</f>
        <v>总时长：10:30:06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7F4DB1-3E3A-4CF5-BB6A-F387BAED2E70}">
  <sheetPr codeName="Sheet10"/>
  <dimension ref="A1:H114"/>
  <sheetViews>
    <sheetView topLeftCell="A88" workbookViewId="0">
      <selection activeCell="C114" sqref="C114"/>
    </sheetView>
  </sheetViews>
  <sheetFormatPr defaultRowHeight="14.25" x14ac:dyDescent="0.2"/>
  <cols>
    <col min="1" max="1" width="35" customWidth="1"/>
  </cols>
  <sheetData>
    <row r="1" spans="1:8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H1" s="31" t="s">
        <v>387</v>
      </c>
    </row>
    <row r="2" spans="1:8" x14ac:dyDescent="0.2">
      <c r="A2" s="32" t="s">
        <v>388</v>
      </c>
    </row>
    <row r="3" spans="1:8" x14ac:dyDescent="0.2">
      <c r="A3" t="s">
        <v>88</v>
      </c>
      <c r="B3">
        <v>40</v>
      </c>
      <c r="C3">
        <v>27</v>
      </c>
    </row>
    <row r="4" spans="1:8" x14ac:dyDescent="0.2">
      <c r="A4" t="s">
        <v>389</v>
      </c>
      <c r="B4">
        <v>81</v>
      </c>
      <c r="C4">
        <v>3</v>
      </c>
    </row>
    <row r="5" spans="1:8" x14ac:dyDescent="0.2">
      <c r="A5" t="s">
        <v>390</v>
      </c>
      <c r="B5">
        <v>14</v>
      </c>
      <c r="C5">
        <v>52</v>
      </c>
    </row>
    <row r="6" spans="1:8" x14ac:dyDescent="0.2">
      <c r="A6" s="32" t="s">
        <v>391</v>
      </c>
    </row>
    <row r="7" spans="1:8" x14ac:dyDescent="0.2">
      <c r="A7" t="s">
        <v>392</v>
      </c>
      <c r="B7">
        <v>40</v>
      </c>
      <c r="C7">
        <v>11</v>
      </c>
    </row>
    <row r="8" spans="1:8" x14ac:dyDescent="0.2">
      <c r="A8" t="s">
        <v>393</v>
      </c>
      <c r="B8">
        <v>65</v>
      </c>
      <c r="C8">
        <v>45</v>
      </c>
    </row>
    <row r="9" spans="1:8" x14ac:dyDescent="0.2">
      <c r="A9" t="s">
        <v>394</v>
      </c>
      <c r="B9">
        <v>52</v>
      </c>
      <c r="C9">
        <v>9</v>
      </c>
    </row>
    <row r="10" spans="1:8" x14ac:dyDescent="0.2">
      <c r="A10" t="s">
        <v>395</v>
      </c>
      <c r="B10">
        <v>85</v>
      </c>
      <c r="C10">
        <v>40</v>
      </c>
    </row>
    <row r="11" spans="1:8" x14ac:dyDescent="0.2">
      <c r="A11" t="s">
        <v>396</v>
      </c>
      <c r="B11">
        <v>69</v>
      </c>
      <c r="C11">
        <v>23</v>
      </c>
    </row>
    <row r="12" spans="1:8" x14ac:dyDescent="0.2">
      <c r="A12" s="32" t="s">
        <v>397</v>
      </c>
    </row>
    <row r="13" spans="1:8" x14ac:dyDescent="0.2">
      <c r="A13" t="s">
        <v>398</v>
      </c>
      <c r="B13">
        <v>37</v>
      </c>
      <c r="C13">
        <v>9</v>
      </c>
    </row>
    <row r="14" spans="1:8" x14ac:dyDescent="0.2">
      <c r="A14" t="s">
        <v>399</v>
      </c>
      <c r="B14">
        <v>58</v>
      </c>
      <c r="C14">
        <v>1</v>
      </c>
    </row>
    <row r="15" spans="1:8" x14ac:dyDescent="0.2">
      <c r="A15" t="s">
        <v>400</v>
      </c>
      <c r="B15">
        <v>9</v>
      </c>
      <c r="C15">
        <v>17</v>
      </c>
    </row>
    <row r="16" spans="1:8" x14ac:dyDescent="0.2">
      <c r="A16" t="s">
        <v>401</v>
      </c>
      <c r="B16">
        <v>45</v>
      </c>
      <c r="C16">
        <v>18</v>
      </c>
    </row>
    <row r="17" spans="1:3" x14ac:dyDescent="0.2">
      <c r="A17" t="s">
        <v>402</v>
      </c>
      <c r="B17">
        <v>45</v>
      </c>
      <c r="C17">
        <v>19</v>
      </c>
    </row>
    <row r="18" spans="1:3" x14ac:dyDescent="0.2">
      <c r="A18" t="s">
        <v>403</v>
      </c>
      <c r="B18">
        <v>54</v>
      </c>
      <c r="C18">
        <v>15</v>
      </c>
    </row>
    <row r="19" spans="1:3" x14ac:dyDescent="0.2">
      <c r="A19" t="s">
        <v>404</v>
      </c>
      <c r="B19">
        <v>9</v>
      </c>
      <c r="C19">
        <v>47</v>
      </c>
    </row>
    <row r="20" spans="1:3" x14ac:dyDescent="0.2">
      <c r="A20" t="s">
        <v>405</v>
      </c>
      <c r="B20">
        <v>7</v>
      </c>
      <c r="C20">
        <v>46</v>
      </c>
    </row>
    <row r="21" spans="1:3" x14ac:dyDescent="0.2">
      <c r="A21" t="s">
        <v>406</v>
      </c>
      <c r="B21">
        <v>31</v>
      </c>
      <c r="C21">
        <v>8</v>
      </c>
    </row>
    <row r="22" spans="1:3" x14ac:dyDescent="0.2">
      <c r="A22" t="s">
        <v>407</v>
      </c>
      <c r="B22">
        <v>73</v>
      </c>
      <c r="C22">
        <v>18</v>
      </c>
    </row>
    <row r="23" spans="1:3" x14ac:dyDescent="0.2">
      <c r="A23" t="s">
        <v>408</v>
      </c>
      <c r="B23">
        <v>52</v>
      </c>
      <c r="C23">
        <v>42</v>
      </c>
    </row>
    <row r="24" spans="1:3" x14ac:dyDescent="0.2">
      <c r="A24" t="s">
        <v>409</v>
      </c>
      <c r="B24">
        <v>18</v>
      </c>
      <c r="C24">
        <v>37</v>
      </c>
    </row>
    <row r="25" spans="1:3" x14ac:dyDescent="0.2">
      <c r="A25" s="32" t="s">
        <v>410</v>
      </c>
    </row>
    <row r="26" spans="1:3" x14ac:dyDescent="0.2">
      <c r="A26" t="s">
        <v>411</v>
      </c>
      <c r="B26">
        <v>19</v>
      </c>
      <c r="C26">
        <v>17</v>
      </c>
    </row>
    <row r="27" spans="1:3" x14ac:dyDescent="0.2">
      <c r="A27" t="s">
        <v>412</v>
      </c>
      <c r="B27">
        <v>42</v>
      </c>
      <c r="C27">
        <v>2</v>
      </c>
    </row>
    <row r="28" spans="1:3" x14ac:dyDescent="0.2">
      <c r="A28" t="s">
        <v>413</v>
      </c>
      <c r="B28">
        <v>36</v>
      </c>
      <c r="C28">
        <v>32</v>
      </c>
    </row>
    <row r="29" spans="1:3" x14ac:dyDescent="0.2">
      <c r="A29" t="s">
        <v>414</v>
      </c>
      <c r="B29">
        <v>7</v>
      </c>
      <c r="C29">
        <v>57</v>
      </c>
    </row>
    <row r="30" spans="1:3" x14ac:dyDescent="0.2">
      <c r="A30" t="s">
        <v>415</v>
      </c>
      <c r="B30">
        <v>50</v>
      </c>
      <c r="C30">
        <v>28</v>
      </c>
    </row>
    <row r="31" spans="1:3" x14ac:dyDescent="0.2">
      <c r="A31" t="s">
        <v>416</v>
      </c>
      <c r="B31">
        <v>43</v>
      </c>
      <c r="C31">
        <v>51</v>
      </c>
    </row>
    <row r="32" spans="1:3" x14ac:dyDescent="0.2">
      <c r="A32" t="s">
        <v>417</v>
      </c>
      <c r="B32">
        <v>40</v>
      </c>
      <c r="C32">
        <v>45</v>
      </c>
    </row>
    <row r="33" spans="1:3" x14ac:dyDescent="0.2">
      <c r="A33" t="s">
        <v>418</v>
      </c>
      <c r="B33">
        <v>96</v>
      </c>
      <c r="C33">
        <v>46</v>
      </c>
    </row>
    <row r="34" spans="1:3" x14ac:dyDescent="0.2">
      <c r="A34" t="s">
        <v>419</v>
      </c>
      <c r="B34">
        <v>23</v>
      </c>
      <c r="C34">
        <v>4</v>
      </c>
    </row>
    <row r="35" spans="1:3" x14ac:dyDescent="0.2">
      <c r="A35" t="s">
        <v>420</v>
      </c>
      <c r="B35">
        <v>69</v>
      </c>
      <c r="C35">
        <v>5</v>
      </c>
    </row>
    <row r="36" spans="1:3" x14ac:dyDescent="0.2">
      <c r="A36" s="32" t="s">
        <v>421</v>
      </c>
    </row>
    <row r="37" spans="1:3" x14ac:dyDescent="0.2">
      <c r="A37" t="s">
        <v>422</v>
      </c>
      <c r="B37">
        <v>74</v>
      </c>
      <c r="C37">
        <v>48</v>
      </c>
    </row>
    <row r="38" spans="1:3" x14ac:dyDescent="0.2">
      <c r="A38" t="s">
        <v>423</v>
      </c>
      <c r="B38">
        <v>60</v>
      </c>
      <c r="C38">
        <v>8</v>
      </c>
    </row>
    <row r="39" spans="1:3" x14ac:dyDescent="0.2">
      <c r="A39" t="s">
        <v>424</v>
      </c>
      <c r="B39">
        <v>41</v>
      </c>
      <c r="C39">
        <v>56</v>
      </c>
    </row>
    <row r="40" spans="1:3" x14ac:dyDescent="0.2">
      <c r="A40" t="s">
        <v>425</v>
      </c>
      <c r="B40">
        <v>61</v>
      </c>
      <c r="C40">
        <v>59</v>
      </c>
    </row>
    <row r="41" spans="1:3" x14ac:dyDescent="0.2">
      <c r="A41" t="s">
        <v>426</v>
      </c>
      <c r="B41">
        <v>38</v>
      </c>
      <c r="C41">
        <v>11</v>
      </c>
    </row>
    <row r="42" spans="1:3" x14ac:dyDescent="0.2">
      <c r="A42" t="s">
        <v>427</v>
      </c>
      <c r="B42">
        <v>57</v>
      </c>
      <c r="C42">
        <v>31</v>
      </c>
    </row>
    <row r="43" spans="1:3" x14ac:dyDescent="0.2">
      <c r="A43" t="s">
        <v>428</v>
      </c>
      <c r="B43">
        <v>37</v>
      </c>
      <c r="C43">
        <v>32</v>
      </c>
    </row>
    <row r="44" spans="1:3" x14ac:dyDescent="0.2">
      <c r="A44" t="s">
        <v>429</v>
      </c>
      <c r="B44">
        <v>63</v>
      </c>
      <c r="C44">
        <v>3</v>
      </c>
    </row>
    <row r="45" spans="1:3" x14ac:dyDescent="0.2">
      <c r="A45" s="32" t="s">
        <v>430</v>
      </c>
    </row>
    <row r="46" spans="1:3" x14ac:dyDescent="0.2">
      <c r="A46" t="s">
        <v>431</v>
      </c>
      <c r="B46">
        <v>68</v>
      </c>
      <c r="C46">
        <v>59</v>
      </c>
    </row>
    <row r="47" spans="1:3" x14ac:dyDescent="0.2">
      <c r="A47" t="s">
        <v>432</v>
      </c>
      <c r="B47">
        <v>60</v>
      </c>
      <c r="C47">
        <v>17</v>
      </c>
    </row>
    <row r="48" spans="1:3" x14ac:dyDescent="0.2">
      <c r="A48" t="s">
        <v>433</v>
      </c>
      <c r="B48">
        <v>2</v>
      </c>
      <c r="C48">
        <v>54</v>
      </c>
    </row>
    <row r="49" spans="1:3" x14ac:dyDescent="0.2">
      <c r="A49" t="s">
        <v>434</v>
      </c>
      <c r="B49">
        <v>77</v>
      </c>
      <c r="C49">
        <v>59</v>
      </c>
    </row>
    <row r="50" spans="1:3" x14ac:dyDescent="0.2">
      <c r="A50" t="s">
        <v>435</v>
      </c>
      <c r="B50">
        <v>39</v>
      </c>
      <c r="C50">
        <v>51</v>
      </c>
    </row>
    <row r="51" spans="1:3" x14ac:dyDescent="0.2">
      <c r="A51" t="s">
        <v>436</v>
      </c>
      <c r="B51">
        <v>12</v>
      </c>
      <c r="C51">
        <v>30</v>
      </c>
    </row>
    <row r="52" spans="1:3" x14ac:dyDescent="0.2">
      <c r="A52" t="s">
        <v>437</v>
      </c>
      <c r="B52">
        <v>59</v>
      </c>
      <c r="C52">
        <v>22</v>
      </c>
    </row>
    <row r="53" spans="1:3" x14ac:dyDescent="0.2">
      <c r="A53" t="s">
        <v>438</v>
      </c>
      <c r="B53">
        <v>37</v>
      </c>
      <c r="C53">
        <v>17</v>
      </c>
    </row>
    <row r="54" spans="1:3" x14ac:dyDescent="0.2">
      <c r="A54" t="s">
        <v>439</v>
      </c>
      <c r="B54">
        <v>60</v>
      </c>
      <c r="C54">
        <v>58</v>
      </c>
    </row>
    <row r="55" spans="1:3" x14ac:dyDescent="0.2">
      <c r="A55" t="s">
        <v>440</v>
      </c>
      <c r="B55">
        <v>66</v>
      </c>
      <c r="C55">
        <v>21</v>
      </c>
    </row>
    <row r="56" spans="1:3" x14ac:dyDescent="0.2">
      <c r="A56" t="s">
        <v>441</v>
      </c>
      <c r="B56">
        <v>60</v>
      </c>
      <c r="C56">
        <v>20</v>
      </c>
    </row>
    <row r="57" spans="1:3" x14ac:dyDescent="0.2">
      <c r="A57" t="s">
        <v>442</v>
      </c>
      <c r="B57">
        <v>59</v>
      </c>
      <c r="C57">
        <v>22</v>
      </c>
    </row>
    <row r="58" spans="1:3" x14ac:dyDescent="0.2">
      <c r="A58" s="32" t="s">
        <v>443</v>
      </c>
    </row>
    <row r="59" spans="1:3" x14ac:dyDescent="0.2">
      <c r="A59" t="s">
        <v>444</v>
      </c>
      <c r="B59">
        <v>39</v>
      </c>
      <c r="C59">
        <v>19</v>
      </c>
    </row>
    <row r="60" spans="1:3" x14ac:dyDescent="0.2">
      <c r="A60" t="s">
        <v>445</v>
      </c>
      <c r="B60">
        <v>67</v>
      </c>
      <c r="C60">
        <v>42</v>
      </c>
    </row>
    <row r="61" spans="1:3" x14ac:dyDescent="0.2">
      <c r="A61" t="s">
        <v>446</v>
      </c>
      <c r="B61">
        <v>16</v>
      </c>
      <c r="C61">
        <v>46</v>
      </c>
    </row>
    <row r="62" spans="1:3" x14ac:dyDescent="0.2">
      <c r="A62" t="s">
        <v>447</v>
      </c>
      <c r="B62">
        <v>54</v>
      </c>
      <c r="C62">
        <v>57</v>
      </c>
    </row>
    <row r="63" spans="1:3" x14ac:dyDescent="0.2">
      <c r="A63" t="s">
        <v>448</v>
      </c>
      <c r="B63">
        <v>49</v>
      </c>
      <c r="C63">
        <v>52</v>
      </c>
    </row>
    <row r="64" spans="1:3" x14ac:dyDescent="0.2">
      <c r="A64" t="s">
        <v>449</v>
      </c>
      <c r="B64">
        <v>55</v>
      </c>
      <c r="C64">
        <v>53</v>
      </c>
    </row>
    <row r="65" spans="1:3" x14ac:dyDescent="0.2">
      <c r="A65" t="s">
        <v>450</v>
      </c>
      <c r="B65">
        <v>45</v>
      </c>
      <c r="C65">
        <v>49</v>
      </c>
    </row>
    <row r="66" spans="1:3" x14ac:dyDescent="0.2">
      <c r="A66" t="s">
        <v>451</v>
      </c>
      <c r="B66">
        <v>20</v>
      </c>
      <c r="C66">
        <v>32</v>
      </c>
    </row>
    <row r="67" spans="1:3" x14ac:dyDescent="0.2">
      <c r="A67" t="s">
        <v>452</v>
      </c>
      <c r="B67">
        <v>58</v>
      </c>
      <c r="C67">
        <v>55</v>
      </c>
    </row>
    <row r="68" spans="1:3" x14ac:dyDescent="0.2">
      <c r="A68" t="s">
        <v>453</v>
      </c>
      <c r="B68">
        <v>33</v>
      </c>
      <c r="C68">
        <v>31</v>
      </c>
    </row>
    <row r="69" spans="1:3" x14ac:dyDescent="0.2">
      <c r="A69" s="32" t="s">
        <v>454</v>
      </c>
    </row>
    <row r="70" spans="1:3" x14ac:dyDescent="0.2">
      <c r="A70" t="s">
        <v>455</v>
      </c>
      <c r="B70">
        <v>22</v>
      </c>
      <c r="C70">
        <v>22</v>
      </c>
    </row>
    <row r="71" spans="1:3" x14ac:dyDescent="0.2">
      <c r="A71" t="s">
        <v>456</v>
      </c>
      <c r="B71">
        <v>36</v>
      </c>
      <c r="C71">
        <v>10</v>
      </c>
    </row>
    <row r="72" spans="1:3" x14ac:dyDescent="0.2">
      <c r="A72" t="s">
        <v>457</v>
      </c>
      <c r="B72">
        <v>53</v>
      </c>
      <c r="C72">
        <v>15</v>
      </c>
    </row>
    <row r="73" spans="1:3" x14ac:dyDescent="0.2">
      <c r="A73" t="s">
        <v>458</v>
      </c>
      <c r="B73">
        <v>35</v>
      </c>
      <c r="C73">
        <v>13</v>
      </c>
    </row>
    <row r="74" spans="1:3" x14ac:dyDescent="0.2">
      <c r="A74" t="s">
        <v>459</v>
      </c>
      <c r="B74">
        <v>61</v>
      </c>
      <c r="C74">
        <v>30</v>
      </c>
    </row>
    <row r="75" spans="1:3" x14ac:dyDescent="0.2">
      <c r="A75" t="s">
        <v>460</v>
      </c>
      <c r="B75">
        <v>79</v>
      </c>
      <c r="C75">
        <v>0</v>
      </c>
    </row>
    <row r="76" spans="1:3" x14ac:dyDescent="0.2">
      <c r="A76" t="s">
        <v>461</v>
      </c>
      <c r="B76">
        <v>20</v>
      </c>
      <c r="C76">
        <v>15</v>
      </c>
    </row>
    <row r="77" spans="1:3" x14ac:dyDescent="0.2">
      <c r="A77" t="s">
        <v>462</v>
      </c>
      <c r="B77">
        <v>21</v>
      </c>
      <c r="C77">
        <v>42</v>
      </c>
    </row>
    <row r="78" spans="1:3" x14ac:dyDescent="0.2">
      <c r="A78" t="s">
        <v>463</v>
      </c>
      <c r="B78">
        <v>35</v>
      </c>
      <c r="C78">
        <v>39</v>
      </c>
    </row>
    <row r="79" spans="1:3" x14ac:dyDescent="0.2">
      <c r="A79" t="s">
        <v>464</v>
      </c>
      <c r="B79">
        <v>51</v>
      </c>
      <c r="C79">
        <v>42</v>
      </c>
    </row>
    <row r="80" spans="1:3" x14ac:dyDescent="0.2">
      <c r="A80" t="s">
        <v>465</v>
      </c>
      <c r="B80">
        <v>45</v>
      </c>
      <c r="C80">
        <v>28</v>
      </c>
    </row>
    <row r="81" spans="1:3" x14ac:dyDescent="0.2">
      <c r="A81" t="s">
        <v>466</v>
      </c>
      <c r="B81">
        <v>14</v>
      </c>
      <c r="C81">
        <v>17</v>
      </c>
    </row>
    <row r="82" spans="1:3" x14ac:dyDescent="0.2">
      <c r="A82" t="s">
        <v>467</v>
      </c>
      <c r="B82">
        <v>60</v>
      </c>
      <c r="C82">
        <v>36</v>
      </c>
    </row>
    <row r="83" spans="1:3" x14ac:dyDescent="0.2">
      <c r="A83" t="s">
        <v>468</v>
      </c>
      <c r="B83">
        <v>49</v>
      </c>
      <c r="C83">
        <v>37</v>
      </c>
    </row>
    <row r="84" spans="1:3" x14ac:dyDescent="0.2">
      <c r="A84" s="32" t="s">
        <v>469</v>
      </c>
    </row>
    <row r="85" spans="1:3" x14ac:dyDescent="0.2">
      <c r="A85" t="s">
        <v>470</v>
      </c>
      <c r="B85">
        <v>36</v>
      </c>
      <c r="C85">
        <v>54</v>
      </c>
    </row>
    <row r="86" spans="1:3" x14ac:dyDescent="0.2">
      <c r="A86" t="s">
        <v>471</v>
      </c>
      <c r="B86">
        <v>21</v>
      </c>
      <c r="C86">
        <v>14</v>
      </c>
    </row>
    <row r="87" spans="1:3" x14ac:dyDescent="0.2">
      <c r="A87" t="s">
        <v>472</v>
      </c>
      <c r="B87">
        <v>105</v>
      </c>
      <c r="C87">
        <v>56</v>
      </c>
    </row>
    <row r="88" spans="1:3" x14ac:dyDescent="0.2">
      <c r="A88" t="s">
        <v>473</v>
      </c>
      <c r="B88">
        <v>41</v>
      </c>
      <c r="C88">
        <v>0</v>
      </c>
    </row>
    <row r="89" spans="1:3" x14ac:dyDescent="0.2">
      <c r="A89" t="s">
        <v>474</v>
      </c>
      <c r="B89">
        <v>62</v>
      </c>
      <c r="C89">
        <v>21</v>
      </c>
    </row>
    <row r="90" spans="1:3" x14ac:dyDescent="0.2">
      <c r="A90" s="32" t="s">
        <v>475</v>
      </c>
    </row>
    <row r="91" spans="1:3" x14ac:dyDescent="0.2">
      <c r="A91" t="s">
        <v>476</v>
      </c>
      <c r="B91">
        <v>69</v>
      </c>
      <c r="C91">
        <v>49</v>
      </c>
    </row>
    <row r="92" spans="1:3" x14ac:dyDescent="0.2">
      <c r="A92" t="s">
        <v>477</v>
      </c>
      <c r="B92">
        <v>69</v>
      </c>
      <c r="C92">
        <v>44</v>
      </c>
    </row>
    <row r="93" spans="1:3" x14ac:dyDescent="0.2">
      <c r="A93" t="s">
        <v>478</v>
      </c>
      <c r="B93">
        <v>62</v>
      </c>
      <c r="C93">
        <v>57</v>
      </c>
    </row>
    <row r="94" spans="1:3" x14ac:dyDescent="0.2">
      <c r="A94" t="s">
        <v>479</v>
      </c>
      <c r="B94">
        <v>76</v>
      </c>
      <c r="C94">
        <v>53</v>
      </c>
    </row>
    <row r="95" spans="1:3" x14ac:dyDescent="0.2">
      <c r="A95" t="s">
        <v>480</v>
      </c>
      <c r="B95">
        <v>64</v>
      </c>
      <c r="C95">
        <v>25</v>
      </c>
    </row>
    <row r="96" spans="1:3" x14ac:dyDescent="0.2">
      <c r="A96" t="s">
        <v>481</v>
      </c>
      <c r="B96">
        <v>42</v>
      </c>
      <c r="C96">
        <v>3</v>
      </c>
    </row>
    <row r="97" spans="1:3" x14ac:dyDescent="0.2">
      <c r="A97" t="s">
        <v>482</v>
      </c>
      <c r="B97">
        <v>44</v>
      </c>
      <c r="C97">
        <v>13</v>
      </c>
    </row>
    <row r="98" spans="1:3" x14ac:dyDescent="0.2">
      <c r="A98" t="s">
        <v>483</v>
      </c>
      <c r="B98">
        <v>39</v>
      </c>
      <c r="C98">
        <v>0</v>
      </c>
    </row>
    <row r="99" spans="1:3" x14ac:dyDescent="0.2">
      <c r="A99" t="s">
        <v>484</v>
      </c>
      <c r="B99">
        <v>31</v>
      </c>
      <c r="C99">
        <v>7</v>
      </c>
    </row>
    <row r="100" spans="1:3" x14ac:dyDescent="0.2">
      <c r="A100" t="s">
        <v>485</v>
      </c>
      <c r="B100">
        <v>21</v>
      </c>
      <c r="C100">
        <v>3</v>
      </c>
    </row>
    <row r="101" spans="1:3" x14ac:dyDescent="0.2">
      <c r="A101" s="32" t="s">
        <v>486</v>
      </c>
    </row>
    <row r="102" spans="1:3" x14ac:dyDescent="0.2">
      <c r="A102" t="s">
        <v>487</v>
      </c>
      <c r="B102">
        <v>67</v>
      </c>
      <c r="C102">
        <v>56</v>
      </c>
    </row>
    <row r="103" spans="1:3" x14ac:dyDescent="0.2">
      <c r="A103" t="s">
        <v>488</v>
      </c>
      <c r="B103">
        <v>51</v>
      </c>
      <c r="C103">
        <v>35</v>
      </c>
    </row>
    <row r="104" spans="1:3" x14ac:dyDescent="0.2">
      <c r="A104" t="s">
        <v>489</v>
      </c>
      <c r="B104">
        <v>29</v>
      </c>
      <c r="C104">
        <v>48</v>
      </c>
    </row>
    <row r="105" spans="1:3" x14ac:dyDescent="0.2">
      <c r="A105" t="s">
        <v>490</v>
      </c>
      <c r="B105">
        <v>30</v>
      </c>
      <c r="C105">
        <v>6</v>
      </c>
    </row>
    <row r="106" spans="1:3" x14ac:dyDescent="0.2">
      <c r="A106" t="s">
        <v>491</v>
      </c>
      <c r="B106">
        <v>44</v>
      </c>
      <c r="C106">
        <v>4</v>
      </c>
    </row>
    <row r="107" spans="1:3" x14ac:dyDescent="0.2">
      <c r="A107" t="s">
        <v>492</v>
      </c>
      <c r="B107">
        <v>60</v>
      </c>
      <c r="C107">
        <v>2</v>
      </c>
    </row>
    <row r="108" spans="1:3" x14ac:dyDescent="0.2">
      <c r="A108" t="s">
        <v>493</v>
      </c>
      <c r="B108">
        <v>55</v>
      </c>
      <c r="C108">
        <v>43</v>
      </c>
    </row>
    <row r="109" spans="1:3" x14ac:dyDescent="0.2">
      <c r="A109" t="s">
        <v>494</v>
      </c>
      <c r="B109">
        <v>63</v>
      </c>
      <c r="C109">
        <v>2</v>
      </c>
    </row>
    <row r="110" spans="1:3" x14ac:dyDescent="0.2">
      <c r="A110" t="s">
        <v>495</v>
      </c>
      <c r="B110">
        <v>60</v>
      </c>
      <c r="C110">
        <v>48</v>
      </c>
    </row>
    <row r="111" spans="1:3" x14ac:dyDescent="0.2">
      <c r="A111" t="s">
        <v>496</v>
      </c>
      <c r="B111">
        <v>87</v>
      </c>
      <c r="C111">
        <v>22</v>
      </c>
    </row>
    <row r="112" spans="1:3" x14ac:dyDescent="0.2">
      <c r="A112" s="32" t="s">
        <v>497</v>
      </c>
    </row>
    <row r="113" spans="1:3" x14ac:dyDescent="0.2">
      <c r="A113" t="s">
        <v>498</v>
      </c>
      <c r="B113">
        <v>11</v>
      </c>
      <c r="C113">
        <v>19</v>
      </c>
    </row>
    <row r="114" spans="1:3" x14ac:dyDescent="0.2">
      <c r="A114" s="34" t="str">
        <f>"总时长："&amp;TEXT(SUM(B:B)/1440+SUM(C:C)/86400,"[h]:mm:ss")</f>
        <v>总时长：79:03:38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AD0F8-0D2C-49A2-997C-DACB9B26CA76}">
  <sheetPr codeName="Sheet11"/>
  <dimension ref="A1:D5"/>
  <sheetViews>
    <sheetView workbookViewId="0">
      <selection activeCell="A5" sqref="A5"/>
    </sheetView>
  </sheetViews>
  <sheetFormatPr defaultRowHeight="14.25" x14ac:dyDescent="0.2"/>
  <cols>
    <col min="1" max="1" width="24.5" bestFit="1" customWidth="1"/>
    <col min="2" max="2" width="12.375" bestFit="1" customWidth="1"/>
    <col min="3" max="3" width="12.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16" t="s">
        <v>72</v>
      </c>
      <c r="B2" s="17">
        <v>58</v>
      </c>
      <c r="C2" s="17">
        <v>0</v>
      </c>
      <c r="D2" s="18">
        <v>1</v>
      </c>
    </row>
    <row r="3" spans="1:4" x14ac:dyDescent="0.2">
      <c r="A3" s="19" t="s">
        <v>73</v>
      </c>
      <c r="B3" s="20">
        <v>93</v>
      </c>
      <c r="C3" s="20">
        <v>56</v>
      </c>
      <c r="D3" s="21">
        <v>2</v>
      </c>
    </row>
    <row r="4" spans="1:4" x14ac:dyDescent="0.2">
      <c r="A4" s="4" t="s">
        <v>74</v>
      </c>
      <c r="B4" s="5">
        <v>111</v>
      </c>
      <c r="C4" s="5">
        <v>33</v>
      </c>
      <c r="D4" s="22">
        <v>3</v>
      </c>
    </row>
    <row r="5" spans="1:4" x14ac:dyDescent="0.2">
      <c r="A5" s="10" t="str">
        <f>"总时长："&amp;TEXT(SUM(B:B)/1440+SUM(C:C)/86400,"[h]:mm:ss")</f>
        <v>总时长：4:23:29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C9628E-F669-40A2-855C-BA931809CE20}">
  <sheetPr codeName="Sheet12"/>
  <dimension ref="A1:D16"/>
  <sheetViews>
    <sheetView workbookViewId="0">
      <selection activeCell="F11" sqref="F11"/>
    </sheetView>
  </sheetViews>
  <sheetFormatPr defaultRowHeight="14.25" x14ac:dyDescent="0.2"/>
  <cols>
    <col min="1" max="1" width="27.75" bestFit="1" customWidth="1"/>
    <col min="2" max="2" width="9.625" customWidth="1"/>
    <col min="3" max="3" width="9.75" customWidth="1"/>
  </cols>
  <sheetData>
    <row r="1" spans="1:4" x14ac:dyDescent="0.2">
      <c r="A1" s="45" t="s">
        <v>35</v>
      </c>
      <c r="B1" s="46" t="s">
        <v>36</v>
      </c>
      <c r="C1" s="46" t="s">
        <v>37</v>
      </c>
      <c r="D1" s="47" t="s">
        <v>53</v>
      </c>
    </row>
    <row r="2" spans="1:4" x14ac:dyDescent="0.2">
      <c r="A2" s="63" t="s">
        <v>304</v>
      </c>
      <c r="B2" s="63">
        <v>11</v>
      </c>
      <c r="C2" s="63">
        <v>40</v>
      </c>
      <c r="D2" s="51">
        <v>1</v>
      </c>
    </row>
    <row r="3" spans="1:4" x14ac:dyDescent="0.2">
      <c r="A3" s="63" t="s">
        <v>305</v>
      </c>
      <c r="B3" s="63">
        <v>9</v>
      </c>
      <c r="C3" s="63">
        <v>35</v>
      </c>
      <c r="D3" s="51">
        <v>1</v>
      </c>
    </row>
    <row r="4" spans="1:4" x14ac:dyDescent="0.2">
      <c r="A4" s="63" t="s">
        <v>306</v>
      </c>
      <c r="B4" s="63">
        <v>39</v>
      </c>
      <c r="C4" s="63">
        <v>56</v>
      </c>
      <c r="D4" s="51">
        <v>1</v>
      </c>
    </row>
    <row r="5" spans="1:4" x14ac:dyDescent="0.2">
      <c r="A5" s="63" t="s">
        <v>307</v>
      </c>
      <c r="B5" s="63">
        <v>25</v>
      </c>
      <c r="C5" s="63">
        <v>46</v>
      </c>
      <c r="D5" s="51">
        <v>1</v>
      </c>
    </row>
    <row r="6" spans="1:4" x14ac:dyDescent="0.2">
      <c r="A6" s="63" t="s">
        <v>308</v>
      </c>
      <c r="B6" s="63">
        <v>41</v>
      </c>
      <c r="C6" s="63">
        <v>56</v>
      </c>
      <c r="D6" s="51">
        <v>1</v>
      </c>
    </row>
    <row r="7" spans="1:4" x14ac:dyDescent="0.2">
      <c r="A7" s="63" t="s">
        <v>309</v>
      </c>
      <c r="B7" s="63">
        <v>39</v>
      </c>
      <c r="C7" s="63">
        <v>24</v>
      </c>
      <c r="D7" s="51">
        <v>1</v>
      </c>
    </row>
    <row r="8" spans="1:4" x14ac:dyDescent="0.2">
      <c r="A8" s="63" t="s">
        <v>600</v>
      </c>
      <c r="B8" s="63">
        <v>18</v>
      </c>
      <c r="C8" s="63">
        <v>21</v>
      </c>
      <c r="D8" s="51">
        <v>1</v>
      </c>
    </row>
    <row r="9" spans="1:4" x14ac:dyDescent="0.2">
      <c r="A9" s="63" t="s">
        <v>310</v>
      </c>
      <c r="B9" s="63">
        <v>41</v>
      </c>
      <c r="C9" s="63">
        <v>39</v>
      </c>
      <c r="D9" s="51">
        <v>2</v>
      </c>
    </row>
    <row r="10" spans="1:4" x14ac:dyDescent="0.2">
      <c r="A10" s="63" t="s">
        <v>311</v>
      </c>
      <c r="B10" s="63">
        <v>54</v>
      </c>
      <c r="C10" s="63">
        <v>0</v>
      </c>
      <c r="D10" s="51">
        <v>2</v>
      </c>
    </row>
    <row r="11" spans="1:4" x14ac:dyDescent="0.2">
      <c r="A11" s="63" t="s">
        <v>312</v>
      </c>
      <c r="B11" s="63">
        <v>41</v>
      </c>
      <c r="C11" s="63">
        <v>4</v>
      </c>
      <c r="D11" s="51">
        <v>3</v>
      </c>
    </row>
    <row r="12" spans="1:4" x14ac:dyDescent="0.2">
      <c r="A12" s="63" t="s">
        <v>313</v>
      </c>
      <c r="B12" s="63">
        <v>55</v>
      </c>
      <c r="C12" s="63">
        <v>3</v>
      </c>
      <c r="D12" s="51">
        <v>3</v>
      </c>
    </row>
    <row r="13" spans="1:4" x14ac:dyDescent="0.2">
      <c r="A13" s="63" t="s">
        <v>314</v>
      </c>
      <c r="B13" s="63">
        <v>49</v>
      </c>
      <c r="C13" s="63">
        <v>16</v>
      </c>
      <c r="D13" s="51">
        <v>4</v>
      </c>
    </row>
    <row r="14" spans="1:4" x14ac:dyDescent="0.2">
      <c r="A14" s="63" t="s">
        <v>315</v>
      </c>
      <c r="B14" s="63">
        <v>24</v>
      </c>
      <c r="C14" s="63">
        <v>51</v>
      </c>
      <c r="D14" s="51">
        <v>4</v>
      </c>
    </row>
    <row r="16" spans="1:4" x14ac:dyDescent="0.2">
      <c r="A16" s="1" t="str">
        <f>"总时长："&amp;TEXT(SUM(B:B)/1440+SUM(C:C)/86400,"[h]:mm:ss")</f>
        <v>总时长：7:32:31</v>
      </c>
      <c r="B16" s="3"/>
      <c r="C16" s="3"/>
      <c r="D16" s="3"/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B4581-7942-4FCC-A12F-3EC4A3FA8D07}">
  <sheetPr codeName="Sheet13"/>
  <dimension ref="A1:D10"/>
  <sheetViews>
    <sheetView workbookViewId="0">
      <selection activeCell="A6" sqref="A6"/>
    </sheetView>
  </sheetViews>
  <sheetFormatPr defaultRowHeight="14.25" x14ac:dyDescent="0.2"/>
  <cols>
    <col min="1" max="1" width="28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316</v>
      </c>
      <c r="B2" s="63">
        <v>72</v>
      </c>
      <c r="C2" s="63">
        <v>20</v>
      </c>
      <c r="D2" s="51">
        <v>1</v>
      </c>
    </row>
    <row r="3" spans="1:4" x14ac:dyDescent="0.2">
      <c r="A3" s="63" t="s">
        <v>317</v>
      </c>
      <c r="B3" s="63">
        <v>41</v>
      </c>
      <c r="C3" s="63">
        <v>8</v>
      </c>
      <c r="D3" s="51">
        <v>1</v>
      </c>
    </row>
    <row r="4" spans="1:4" x14ac:dyDescent="0.2">
      <c r="A4" s="63" t="s">
        <v>318</v>
      </c>
      <c r="B4" s="63">
        <v>24</v>
      </c>
      <c r="C4" s="63">
        <v>39</v>
      </c>
      <c r="D4" s="51">
        <v>1</v>
      </c>
    </row>
    <row r="5" spans="1:4" x14ac:dyDescent="0.2">
      <c r="A5" s="63" t="s">
        <v>319</v>
      </c>
      <c r="B5" s="63">
        <v>10</v>
      </c>
      <c r="C5" s="63">
        <v>13</v>
      </c>
      <c r="D5" s="51">
        <v>2</v>
      </c>
    </row>
    <row r="6" spans="1:4" x14ac:dyDescent="0.2">
      <c r="A6" s="63" t="s">
        <v>320</v>
      </c>
      <c r="B6" s="63">
        <v>2</v>
      </c>
      <c r="C6" s="63">
        <v>2</v>
      </c>
      <c r="D6" s="51">
        <v>2</v>
      </c>
    </row>
    <row r="7" spans="1:4" x14ac:dyDescent="0.2">
      <c r="A7" s="63" t="s">
        <v>321</v>
      </c>
      <c r="B7" s="63">
        <v>16</v>
      </c>
      <c r="C7" s="63">
        <v>7</v>
      </c>
      <c r="D7" s="51">
        <v>2</v>
      </c>
    </row>
    <row r="8" spans="1:4" x14ac:dyDescent="0.2">
      <c r="A8" s="63" t="s">
        <v>322</v>
      </c>
      <c r="B8" s="63">
        <v>16</v>
      </c>
      <c r="C8" s="63">
        <v>19</v>
      </c>
      <c r="D8" s="51">
        <v>2</v>
      </c>
    </row>
    <row r="10" spans="1:4" x14ac:dyDescent="0.2">
      <c r="A10" s="23" t="str">
        <f>"总时长："&amp;TEXT(SUM(B:B)/1440+SUM(C:C)/86400,"[h]:mm:ss")</f>
        <v>总时长：3:02:48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832BBF-CF90-430B-B2E0-B6425812829B}">
  <sheetPr codeName="Sheet14"/>
  <dimension ref="A1:D10"/>
  <sheetViews>
    <sheetView workbookViewId="0">
      <selection activeCell="C7" sqref="C7"/>
    </sheetView>
  </sheetViews>
  <sheetFormatPr defaultRowHeight="14.25" x14ac:dyDescent="0.2"/>
  <cols>
    <col min="1" max="1" width="14.37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323</v>
      </c>
      <c r="B2" s="63">
        <v>82</v>
      </c>
      <c r="C2" s="63">
        <v>31</v>
      </c>
      <c r="D2" s="51">
        <v>1</v>
      </c>
    </row>
    <row r="3" spans="1:4" x14ac:dyDescent="0.2">
      <c r="A3" s="63" t="s">
        <v>324</v>
      </c>
      <c r="B3" s="63">
        <v>8</v>
      </c>
      <c r="C3" s="63">
        <v>25</v>
      </c>
      <c r="D3" s="51">
        <v>1</v>
      </c>
    </row>
    <row r="4" spans="1:4" x14ac:dyDescent="0.2">
      <c r="A4" s="63" t="s">
        <v>325</v>
      </c>
      <c r="B4" s="63">
        <v>18</v>
      </c>
      <c r="C4" s="63">
        <v>6</v>
      </c>
      <c r="D4" s="51">
        <v>2</v>
      </c>
    </row>
    <row r="5" spans="1:4" x14ac:dyDescent="0.2">
      <c r="A5" s="63" t="s">
        <v>326</v>
      </c>
      <c r="B5" s="63">
        <v>38</v>
      </c>
      <c r="C5" s="63">
        <v>29</v>
      </c>
      <c r="D5" s="51">
        <v>2</v>
      </c>
    </row>
    <row r="6" spans="1:4" x14ac:dyDescent="0.2">
      <c r="A6" s="63" t="s">
        <v>327</v>
      </c>
      <c r="B6" s="63">
        <v>43</v>
      </c>
      <c r="C6" s="63">
        <v>28</v>
      </c>
      <c r="D6" s="51">
        <v>2</v>
      </c>
    </row>
    <row r="7" spans="1:4" x14ac:dyDescent="0.2">
      <c r="A7" s="63" t="s">
        <v>328</v>
      </c>
      <c r="B7" s="63">
        <v>69</v>
      </c>
      <c r="C7" s="63">
        <v>3</v>
      </c>
      <c r="D7" s="51">
        <v>3</v>
      </c>
    </row>
    <row r="8" spans="1:4" x14ac:dyDescent="0.2">
      <c r="A8" s="63" t="s">
        <v>329</v>
      </c>
      <c r="B8" s="63">
        <v>37</v>
      </c>
      <c r="C8" s="63">
        <v>5</v>
      </c>
      <c r="D8" s="51">
        <v>3</v>
      </c>
    </row>
    <row r="10" spans="1:4" x14ac:dyDescent="0.2">
      <c r="A10" s="23" t="str">
        <f>"总时长："&amp;TEXT(SUM(B:B)/1440+SUM(C:C)/86400,"[h]:mm:ss")</f>
        <v>总时长：4:57:07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865C93-FCC5-4D30-A25D-4C01DD061FF8}">
  <sheetPr codeName="Sheet15"/>
  <dimension ref="A1:D11"/>
  <sheetViews>
    <sheetView workbookViewId="0">
      <selection activeCell="D10" sqref="D10"/>
    </sheetView>
  </sheetViews>
  <sheetFormatPr defaultRowHeight="14.25" x14ac:dyDescent="0.2"/>
  <cols>
    <col min="1" max="1" width="29.125" bestFit="1" customWidth="1"/>
    <col min="2" max="2" width="12.375" bestFit="1" customWidth="1"/>
    <col min="3" max="3" width="12.5" bestFit="1" customWidth="1"/>
    <col min="4" max="4" width="8.875" bestFit="1" customWidth="1"/>
  </cols>
  <sheetData>
    <row r="1" spans="1:4" x14ac:dyDescent="0.2">
      <c r="A1" s="48" t="s">
        <v>35</v>
      </c>
      <c r="B1" s="49" t="s">
        <v>36</v>
      </c>
      <c r="C1" s="49" t="s">
        <v>37</v>
      </c>
      <c r="D1" s="50" t="s">
        <v>53</v>
      </c>
    </row>
    <row r="2" spans="1:4" x14ac:dyDescent="0.2">
      <c r="A2" s="63" t="s">
        <v>330</v>
      </c>
      <c r="B2" s="63">
        <v>54</v>
      </c>
      <c r="C2" s="63">
        <v>26</v>
      </c>
      <c r="D2" s="51">
        <v>1</v>
      </c>
    </row>
    <row r="3" spans="1:4" x14ac:dyDescent="0.2">
      <c r="A3" s="63" t="s">
        <v>331</v>
      </c>
      <c r="B3" s="63">
        <v>67</v>
      </c>
      <c r="C3" s="63">
        <v>59</v>
      </c>
      <c r="D3" s="51">
        <v>1</v>
      </c>
    </row>
    <row r="4" spans="1:4" x14ac:dyDescent="0.2">
      <c r="A4" s="63" t="s">
        <v>332</v>
      </c>
      <c r="B4" s="63">
        <v>41</v>
      </c>
      <c r="C4" s="63">
        <v>18</v>
      </c>
      <c r="D4" s="51">
        <v>2</v>
      </c>
    </row>
    <row r="5" spans="1:4" x14ac:dyDescent="0.2">
      <c r="A5" s="63" t="s">
        <v>333</v>
      </c>
      <c r="B5" s="63">
        <v>48</v>
      </c>
      <c r="C5" s="63">
        <v>3</v>
      </c>
      <c r="D5" s="51">
        <v>2</v>
      </c>
    </row>
    <row r="6" spans="1:4" x14ac:dyDescent="0.2">
      <c r="A6" s="63" t="s">
        <v>334</v>
      </c>
      <c r="B6" s="63">
        <v>23</v>
      </c>
      <c r="C6" s="63">
        <v>47</v>
      </c>
      <c r="D6" s="51">
        <v>3</v>
      </c>
    </row>
    <row r="7" spans="1:4" x14ac:dyDescent="0.2">
      <c r="A7" s="63" t="s">
        <v>335</v>
      </c>
      <c r="B7" s="63">
        <v>16</v>
      </c>
      <c r="C7" s="63">
        <v>12</v>
      </c>
      <c r="D7" s="51">
        <v>3</v>
      </c>
    </row>
    <row r="8" spans="1:4" x14ac:dyDescent="0.2">
      <c r="A8" s="63" t="s">
        <v>336</v>
      </c>
      <c r="B8" s="63">
        <v>91</v>
      </c>
      <c r="C8" s="63">
        <v>57</v>
      </c>
      <c r="D8" s="51">
        <v>3</v>
      </c>
    </row>
    <row r="9" spans="1:4" x14ac:dyDescent="0.2">
      <c r="A9" s="63" t="s">
        <v>337</v>
      </c>
      <c r="B9" s="63">
        <v>110</v>
      </c>
      <c r="C9" s="63">
        <v>45</v>
      </c>
      <c r="D9" s="51">
        <v>4</v>
      </c>
    </row>
    <row r="11" spans="1:4" x14ac:dyDescent="0.2">
      <c r="A11" s="64" t="str">
        <f>"总时长："&amp;TEXT(SUM(B:B)/1440+SUM(C:C)/86400,"[h]:mm:ss")</f>
        <v>总时长：7:34:27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  <tableParts count="1">
    <tablePart r:id="rId2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3D58B-B7D0-4ABE-B71F-06475D33804E}">
  <sheetPr codeName="Sheet16"/>
  <dimension ref="A1:D21"/>
  <sheetViews>
    <sheetView workbookViewId="0">
      <selection activeCell="C21" sqref="C21"/>
    </sheetView>
  </sheetViews>
  <sheetFormatPr defaultRowHeight="14.25" x14ac:dyDescent="0.2"/>
  <cols>
    <col min="1" max="1" width="27.375" customWidth="1"/>
    <col min="2" max="2" width="8.375" bestFit="1" customWidth="1"/>
    <col min="3" max="3" width="8.5" bestFit="1" customWidth="1"/>
    <col min="4" max="4" width="4.87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23" t="s">
        <v>580</v>
      </c>
    </row>
    <row r="3" spans="1:4" x14ac:dyDescent="0.2">
      <c r="A3" t="s">
        <v>583</v>
      </c>
      <c r="B3">
        <v>30</v>
      </c>
      <c r="C3">
        <v>52</v>
      </c>
    </row>
    <row r="4" spans="1:4" x14ac:dyDescent="0.2">
      <c r="A4" t="s">
        <v>584</v>
      </c>
      <c r="B4">
        <v>24</v>
      </c>
      <c r="C4">
        <v>7</v>
      </c>
    </row>
    <row r="5" spans="1:4" x14ac:dyDescent="0.2">
      <c r="A5" t="s">
        <v>585</v>
      </c>
      <c r="B5">
        <v>55</v>
      </c>
      <c r="C5">
        <v>35</v>
      </c>
    </row>
    <row r="6" spans="1:4" x14ac:dyDescent="0.2">
      <c r="A6" t="s">
        <v>586</v>
      </c>
      <c r="B6">
        <v>1</v>
      </c>
      <c r="C6">
        <v>43</v>
      </c>
    </row>
    <row r="7" spans="1:4" x14ac:dyDescent="0.2">
      <c r="A7" t="s">
        <v>587</v>
      </c>
      <c r="B7">
        <v>55</v>
      </c>
      <c r="C7">
        <v>51</v>
      </c>
    </row>
    <row r="8" spans="1:4" x14ac:dyDescent="0.2">
      <c r="A8" t="s">
        <v>588</v>
      </c>
      <c r="B8">
        <v>58</v>
      </c>
      <c r="C8">
        <v>52</v>
      </c>
    </row>
    <row r="9" spans="1:4" x14ac:dyDescent="0.2">
      <c r="A9" s="23" t="s">
        <v>581</v>
      </c>
    </row>
    <row r="10" spans="1:4" x14ac:dyDescent="0.2">
      <c r="A10" t="s">
        <v>589</v>
      </c>
      <c r="B10">
        <v>24</v>
      </c>
      <c r="C10">
        <v>38</v>
      </c>
    </row>
    <row r="11" spans="1:4" x14ac:dyDescent="0.2">
      <c r="A11" t="s">
        <v>590</v>
      </c>
      <c r="B11">
        <v>29</v>
      </c>
      <c r="C11">
        <v>51</v>
      </c>
    </row>
    <row r="12" spans="1:4" x14ac:dyDescent="0.2">
      <c r="A12" t="s">
        <v>591</v>
      </c>
      <c r="B12">
        <v>17</v>
      </c>
      <c r="C12">
        <v>57</v>
      </c>
    </row>
    <row r="13" spans="1:4" x14ac:dyDescent="0.2">
      <c r="A13" t="s">
        <v>592</v>
      </c>
      <c r="B13">
        <v>20</v>
      </c>
      <c r="C13">
        <v>28</v>
      </c>
    </row>
    <row r="14" spans="1:4" x14ac:dyDescent="0.2">
      <c r="A14" t="s">
        <v>593</v>
      </c>
      <c r="B14">
        <v>24</v>
      </c>
      <c r="C14">
        <v>21</v>
      </c>
    </row>
    <row r="15" spans="1:4" x14ac:dyDescent="0.2">
      <c r="A15" s="23" t="s">
        <v>582</v>
      </c>
    </row>
    <row r="16" spans="1:4" x14ac:dyDescent="0.2">
      <c r="A16" t="s">
        <v>594</v>
      </c>
      <c r="B16">
        <v>41</v>
      </c>
      <c r="C16">
        <v>7</v>
      </c>
    </row>
    <row r="17" spans="1:3" x14ac:dyDescent="0.2">
      <c r="A17" t="s">
        <v>595</v>
      </c>
      <c r="B17">
        <v>20</v>
      </c>
      <c r="C17">
        <v>20</v>
      </c>
    </row>
    <row r="18" spans="1:3" x14ac:dyDescent="0.2">
      <c r="A18" t="s">
        <v>596</v>
      </c>
      <c r="B18">
        <v>46</v>
      </c>
      <c r="C18">
        <v>4</v>
      </c>
    </row>
    <row r="19" spans="1:3" x14ac:dyDescent="0.2">
      <c r="A19" t="s">
        <v>597</v>
      </c>
      <c r="B19">
        <v>25</v>
      </c>
      <c r="C19">
        <v>25</v>
      </c>
    </row>
    <row r="20" spans="1:3" x14ac:dyDescent="0.2">
      <c r="A20" t="s">
        <v>598</v>
      </c>
      <c r="B20">
        <v>10</v>
      </c>
      <c r="C20">
        <v>11</v>
      </c>
    </row>
    <row r="21" spans="1:3" x14ac:dyDescent="0.2">
      <c r="A21" s="37" t="str">
        <f>"总时长："&amp;TEXT(SUM(B:B)/1440+SUM(C:C)/86400,"[h]:mm:ss")</f>
        <v>总时长：8:07:22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AF8CD0-73B6-411F-82CC-0DBAA39229A0}">
  <sheetPr codeName="Sheet17"/>
  <dimension ref="A1:F46"/>
  <sheetViews>
    <sheetView tabSelected="1" topLeftCell="A28" workbookViewId="0">
      <selection activeCell="D36" sqref="D36"/>
    </sheetView>
  </sheetViews>
  <sheetFormatPr defaultRowHeight="14.25" x14ac:dyDescent="0.2"/>
  <cols>
    <col min="1" max="1" width="30.375" customWidth="1"/>
  </cols>
  <sheetData>
    <row r="1" spans="1:6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23" t="s">
        <v>543</v>
      </c>
    </row>
    <row r="2" spans="1:6" x14ac:dyDescent="0.2">
      <c r="A2" t="s">
        <v>499</v>
      </c>
      <c r="B2" s="63">
        <v>23</v>
      </c>
      <c r="C2" s="63">
        <v>57</v>
      </c>
      <c r="D2" s="51">
        <v>1</v>
      </c>
    </row>
    <row r="3" spans="1:6" x14ac:dyDescent="0.2">
      <c r="A3" t="s">
        <v>500</v>
      </c>
      <c r="B3" s="63">
        <v>22</v>
      </c>
      <c r="C3" s="63">
        <v>5</v>
      </c>
      <c r="D3" s="51">
        <v>1</v>
      </c>
    </row>
    <row r="4" spans="1:6" x14ac:dyDescent="0.2">
      <c r="A4" t="s">
        <v>501</v>
      </c>
      <c r="B4" s="63">
        <v>48</v>
      </c>
      <c r="C4" s="63">
        <v>15</v>
      </c>
      <c r="D4" s="51">
        <v>1</v>
      </c>
    </row>
    <row r="5" spans="1:6" x14ac:dyDescent="0.2">
      <c r="A5" t="s">
        <v>502</v>
      </c>
      <c r="B5" s="63">
        <v>40</v>
      </c>
      <c r="C5" s="63">
        <v>9</v>
      </c>
      <c r="D5" s="51">
        <v>1</v>
      </c>
    </row>
    <row r="6" spans="1:6" x14ac:dyDescent="0.2">
      <c r="A6" t="s">
        <v>503</v>
      </c>
      <c r="B6" s="63">
        <v>7</v>
      </c>
      <c r="C6" s="63">
        <v>46</v>
      </c>
      <c r="D6" s="51">
        <v>1</v>
      </c>
    </row>
    <row r="7" spans="1:6" x14ac:dyDescent="0.2">
      <c r="A7" t="s">
        <v>504</v>
      </c>
      <c r="B7" s="63">
        <v>47</v>
      </c>
      <c r="C7" s="63">
        <v>50</v>
      </c>
      <c r="D7" s="51">
        <v>2</v>
      </c>
    </row>
    <row r="8" spans="1:6" x14ac:dyDescent="0.2">
      <c r="A8" t="s">
        <v>505</v>
      </c>
      <c r="B8" s="63">
        <v>38</v>
      </c>
      <c r="C8" s="63">
        <v>26</v>
      </c>
      <c r="D8" s="51">
        <v>3</v>
      </c>
    </row>
    <row r="9" spans="1:6" x14ac:dyDescent="0.2">
      <c r="A9" t="s">
        <v>506</v>
      </c>
      <c r="B9" s="63">
        <v>84</v>
      </c>
      <c r="C9" s="63">
        <v>18</v>
      </c>
      <c r="D9" s="51">
        <v>3</v>
      </c>
    </row>
    <row r="10" spans="1:6" x14ac:dyDescent="0.2">
      <c r="A10" t="s">
        <v>507</v>
      </c>
      <c r="B10" s="63">
        <v>17</v>
      </c>
      <c r="C10" s="63">
        <v>25</v>
      </c>
      <c r="D10" s="51">
        <v>3</v>
      </c>
    </row>
    <row r="11" spans="1:6" x14ac:dyDescent="0.2">
      <c r="A11" t="s">
        <v>508</v>
      </c>
      <c r="B11" s="63">
        <v>112</v>
      </c>
      <c r="C11" s="63">
        <v>57</v>
      </c>
      <c r="D11" s="69">
        <v>4</v>
      </c>
    </row>
    <row r="12" spans="1:6" x14ac:dyDescent="0.2">
      <c r="A12" t="s">
        <v>509</v>
      </c>
      <c r="B12" s="63">
        <v>33</v>
      </c>
      <c r="C12" s="63">
        <v>49</v>
      </c>
      <c r="D12" s="51">
        <v>5</v>
      </c>
    </row>
    <row r="13" spans="1:6" x14ac:dyDescent="0.2">
      <c r="A13" t="s">
        <v>510</v>
      </c>
      <c r="B13" s="63">
        <v>54</v>
      </c>
      <c r="C13" s="63">
        <v>9</v>
      </c>
      <c r="D13" s="51">
        <v>5</v>
      </c>
    </row>
    <row r="14" spans="1:6" x14ac:dyDescent="0.2">
      <c r="A14" t="s">
        <v>511</v>
      </c>
      <c r="B14" s="63">
        <v>71</v>
      </c>
      <c r="C14" s="63">
        <v>2</v>
      </c>
      <c r="D14" s="51">
        <v>5</v>
      </c>
    </row>
    <row r="15" spans="1:6" x14ac:dyDescent="0.2">
      <c r="A15" t="s">
        <v>512</v>
      </c>
      <c r="B15" s="63">
        <v>57</v>
      </c>
      <c r="C15" s="63">
        <v>59</v>
      </c>
      <c r="D15" s="51">
        <v>6</v>
      </c>
    </row>
    <row r="16" spans="1:6" x14ac:dyDescent="0.2">
      <c r="A16" t="s">
        <v>513</v>
      </c>
      <c r="B16" s="63">
        <v>34</v>
      </c>
      <c r="C16" s="63">
        <v>48</v>
      </c>
      <c r="D16" s="51">
        <v>6</v>
      </c>
    </row>
    <row r="17" spans="1:4" x14ac:dyDescent="0.2">
      <c r="A17" t="s">
        <v>514</v>
      </c>
      <c r="B17" s="63">
        <v>44</v>
      </c>
      <c r="C17" s="63">
        <v>14</v>
      </c>
      <c r="D17" s="51">
        <v>7</v>
      </c>
    </row>
    <row r="18" spans="1:4" x14ac:dyDescent="0.2">
      <c r="A18" t="s">
        <v>515</v>
      </c>
      <c r="B18" s="63">
        <v>41</v>
      </c>
      <c r="C18" s="63">
        <v>25</v>
      </c>
      <c r="D18" s="51">
        <v>7</v>
      </c>
    </row>
    <row r="19" spans="1:4" x14ac:dyDescent="0.2">
      <c r="A19" t="s">
        <v>516</v>
      </c>
      <c r="B19" s="63">
        <v>34</v>
      </c>
      <c r="C19" s="63">
        <v>9</v>
      </c>
      <c r="D19" s="51">
        <v>7</v>
      </c>
    </row>
    <row r="20" spans="1:4" x14ac:dyDescent="0.2">
      <c r="A20" t="s">
        <v>517</v>
      </c>
      <c r="B20" s="63">
        <v>41</v>
      </c>
      <c r="C20" s="63">
        <v>54</v>
      </c>
      <c r="D20" s="51">
        <v>7</v>
      </c>
    </row>
    <row r="21" spans="1:4" x14ac:dyDescent="0.2">
      <c r="A21" t="s">
        <v>518</v>
      </c>
      <c r="B21" s="63">
        <v>12</v>
      </c>
      <c r="C21" s="63">
        <v>19</v>
      </c>
      <c r="D21" s="51">
        <v>7</v>
      </c>
    </row>
    <row r="22" spans="1:4" x14ac:dyDescent="0.2">
      <c r="A22" t="s">
        <v>519</v>
      </c>
      <c r="B22" s="63">
        <v>27</v>
      </c>
      <c r="C22" s="63">
        <v>31</v>
      </c>
      <c r="D22" s="51">
        <v>8</v>
      </c>
    </row>
    <row r="23" spans="1:4" x14ac:dyDescent="0.2">
      <c r="A23" t="s">
        <v>520</v>
      </c>
      <c r="B23" s="70">
        <v>26</v>
      </c>
      <c r="C23" s="70">
        <v>43</v>
      </c>
      <c r="D23" s="51">
        <v>8</v>
      </c>
    </row>
    <row r="24" spans="1:4" x14ac:dyDescent="0.2">
      <c r="A24" t="s">
        <v>521</v>
      </c>
      <c r="B24" s="70">
        <v>94</v>
      </c>
      <c r="C24" s="70">
        <v>32</v>
      </c>
      <c r="D24" s="51">
        <v>8</v>
      </c>
    </row>
    <row r="25" spans="1:4" x14ac:dyDescent="0.2">
      <c r="A25" t="s">
        <v>522</v>
      </c>
      <c r="B25" s="63">
        <v>24</v>
      </c>
      <c r="C25" s="63">
        <v>19</v>
      </c>
      <c r="D25" s="51">
        <v>9</v>
      </c>
    </row>
    <row r="26" spans="1:4" x14ac:dyDescent="0.2">
      <c r="A26" t="s">
        <v>523</v>
      </c>
      <c r="B26" s="63">
        <v>39</v>
      </c>
      <c r="C26" s="63">
        <v>22</v>
      </c>
      <c r="D26" s="51">
        <v>10</v>
      </c>
    </row>
    <row r="27" spans="1:4" x14ac:dyDescent="0.2">
      <c r="A27" t="s">
        <v>524</v>
      </c>
      <c r="B27" s="70">
        <v>43</v>
      </c>
      <c r="C27" s="70">
        <v>7</v>
      </c>
      <c r="D27" s="51">
        <v>11</v>
      </c>
    </row>
    <row r="28" spans="1:4" x14ac:dyDescent="0.2">
      <c r="A28" t="s">
        <v>525</v>
      </c>
      <c r="B28" s="63">
        <v>48</v>
      </c>
      <c r="C28" s="63">
        <v>12</v>
      </c>
      <c r="D28" s="51">
        <v>12</v>
      </c>
    </row>
    <row r="29" spans="1:4" x14ac:dyDescent="0.2">
      <c r="A29" t="s">
        <v>526</v>
      </c>
      <c r="B29" s="70">
        <v>28</v>
      </c>
      <c r="C29" s="70">
        <v>28</v>
      </c>
      <c r="D29" s="51">
        <v>12</v>
      </c>
    </row>
    <row r="30" spans="1:4" x14ac:dyDescent="0.2">
      <c r="A30" t="s">
        <v>527</v>
      </c>
      <c r="B30" s="70">
        <v>40</v>
      </c>
      <c r="C30" s="70">
        <v>26</v>
      </c>
      <c r="D30" s="51">
        <v>12</v>
      </c>
    </row>
    <row r="31" spans="1:4" x14ac:dyDescent="0.2">
      <c r="A31" t="s">
        <v>528</v>
      </c>
      <c r="B31" s="70">
        <v>37</v>
      </c>
      <c r="C31" s="70">
        <v>59</v>
      </c>
      <c r="D31" s="51">
        <v>13</v>
      </c>
    </row>
    <row r="32" spans="1:4" x14ac:dyDescent="0.2">
      <c r="A32" t="s">
        <v>529</v>
      </c>
      <c r="B32" s="70">
        <v>10</v>
      </c>
      <c r="C32" s="70">
        <v>22</v>
      </c>
      <c r="D32" s="51">
        <v>13</v>
      </c>
    </row>
    <row r="33" spans="1:4" x14ac:dyDescent="0.2">
      <c r="A33" t="s">
        <v>530</v>
      </c>
      <c r="B33" s="70">
        <v>39</v>
      </c>
      <c r="C33" s="70">
        <v>40</v>
      </c>
      <c r="D33" s="51">
        <v>14</v>
      </c>
    </row>
    <row r="34" spans="1:4" x14ac:dyDescent="0.2">
      <c r="A34" t="s">
        <v>531</v>
      </c>
      <c r="B34" s="70">
        <v>46</v>
      </c>
      <c r="C34" s="70">
        <v>33</v>
      </c>
      <c r="D34" s="51">
        <v>14</v>
      </c>
    </row>
    <row r="35" spans="1:4" x14ac:dyDescent="0.2">
      <c r="A35" t="s">
        <v>532</v>
      </c>
      <c r="B35" s="63">
        <v>98</v>
      </c>
      <c r="C35" s="63">
        <v>10</v>
      </c>
      <c r="D35" s="51">
        <v>15</v>
      </c>
    </row>
    <row r="36" spans="1:4" x14ac:dyDescent="0.2">
      <c r="A36" t="s">
        <v>533</v>
      </c>
      <c r="B36" s="63">
        <v>23</v>
      </c>
      <c r="C36" s="63">
        <v>50</v>
      </c>
      <c r="D36" s="51">
        <v>16</v>
      </c>
    </row>
    <row r="37" spans="1:4" x14ac:dyDescent="0.2">
      <c r="A37" t="s">
        <v>534</v>
      </c>
      <c r="B37">
        <v>14</v>
      </c>
      <c r="C37">
        <v>43</v>
      </c>
      <c r="D37" s="25"/>
    </row>
    <row r="38" spans="1:4" x14ac:dyDescent="0.2">
      <c r="A38" t="s">
        <v>535</v>
      </c>
      <c r="B38">
        <v>12</v>
      </c>
      <c r="C38">
        <v>36</v>
      </c>
      <c r="D38" s="25"/>
    </row>
    <row r="39" spans="1:4" x14ac:dyDescent="0.2">
      <c r="A39" t="s">
        <v>536</v>
      </c>
      <c r="B39">
        <v>17</v>
      </c>
      <c r="C39">
        <v>11</v>
      </c>
      <c r="D39" s="25"/>
    </row>
    <row r="40" spans="1:4" x14ac:dyDescent="0.2">
      <c r="A40" t="s">
        <v>537</v>
      </c>
      <c r="B40">
        <v>14</v>
      </c>
      <c r="C40">
        <v>53</v>
      </c>
      <c r="D40" s="25"/>
    </row>
    <row r="41" spans="1:4" x14ac:dyDescent="0.2">
      <c r="A41" t="s">
        <v>538</v>
      </c>
      <c r="B41">
        <v>55</v>
      </c>
      <c r="C41">
        <v>43</v>
      </c>
      <c r="D41" s="25"/>
    </row>
    <row r="42" spans="1:4" x14ac:dyDescent="0.2">
      <c r="A42" t="s">
        <v>539</v>
      </c>
      <c r="B42">
        <v>23</v>
      </c>
      <c r="C42">
        <v>43</v>
      </c>
      <c r="D42" s="25"/>
    </row>
    <row r="43" spans="1:4" x14ac:dyDescent="0.2">
      <c r="A43" t="s">
        <v>540</v>
      </c>
      <c r="B43">
        <v>6</v>
      </c>
      <c r="C43">
        <v>9</v>
      </c>
      <c r="D43" s="25"/>
    </row>
    <row r="44" spans="1:4" x14ac:dyDescent="0.2">
      <c r="A44" t="s">
        <v>541</v>
      </c>
      <c r="B44">
        <v>5</v>
      </c>
      <c r="C44">
        <v>27</v>
      </c>
      <c r="D44" s="25"/>
    </row>
    <row r="45" spans="1:4" x14ac:dyDescent="0.2">
      <c r="A45" s="33" t="s">
        <v>542</v>
      </c>
      <c r="B45">
        <v>32</v>
      </c>
      <c r="C45">
        <v>30</v>
      </c>
      <c r="D45" s="25"/>
    </row>
    <row r="46" spans="1:4" x14ac:dyDescent="0.2">
      <c r="A46" s="35" t="str">
        <f>"总时长："&amp;TEXT(SUM(B:B)/1440+SUM(C:C)/86400,"[h]:mm:ss")</f>
        <v>总时长：28:01:05</v>
      </c>
    </row>
  </sheetData>
  <phoneticPr fontId="1" type="noConversion"/>
  <pageMargins left="0.7" right="0.7" top="0.75" bottom="0.75" header="0.3" footer="0.3"/>
  <pageSetup paperSize="9" orientation="portrait" horizontalDpi="1200" verticalDpi="120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E55571-67F4-430B-911B-F444D39A2E21}">
  <sheetPr codeName="Sheet18"/>
  <dimension ref="A1:F37"/>
  <sheetViews>
    <sheetView topLeftCell="A3" workbookViewId="0">
      <selection activeCell="A18" sqref="A18"/>
    </sheetView>
  </sheetViews>
  <sheetFormatPr defaultRowHeight="14.25" x14ac:dyDescent="0.2"/>
  <cols>
    <col min="1" max="1" width="47.75" bestFit="1" customWidth="1"/>
  </cols>
  <sheetData>
    <row r="1" spans="1:6" ht="19.5" x14ac:dyDescent="0.2">
      <c r="A1" s="13" t="s">
        <v>35</v>
      </c>
      <c r="B1" s="14" t="s">
        <v>36</v>
      </c>
      <c r="C1" s="14" t="s">
        <v>37</v>
      </c>
      <c r="D1" s="15" t="s">
        <v>53</v>
      </c>
      <c r="F1" s="31" t="s">
        <v>564</v>
      </c>
    </row>
    <row r="2" spans="1:6" x14ac:dyDescent="0.2">
      <c r="A2" t="s">
        <v>544</v>
      </c>
      <c r="B2">
        <v>19</v>
      </c>
      <c r="C2">
        <v>15</v>
      </c>
    </row>
    <row r="3" spans="1:6" x14ac:dyDescent="0.2">
      <c r="A3" t="s">
        <v>545</v>
      </c>
      <c r="B3">
        <v>23</v>
      </c>
      <c r="C3">
        <v>29</v>
      </c>
    </row>
    <row r="4" spans="1:6" x14ac:dyDescent="0.2">
      <c r="A4" t="s">
        <v>546</v>
      </c>
      <c r="B4">
        <v>24</v>
      </c>
      <c r="C4">
        <v>31</v>
      </c>
    </row>
    <row r="5" spans="1:6" x14ac:dyDescent="0.2">
      <c r="A5" t="s">
        <v>547</v>
      </c>
      <c r="B5">
        <v>32</v>
      </c>
      <c r="C5">
        <v>38</v>
      </c>
    </row>
    <row r="6" spans="1:6" x14ac:dyDescent="0.2">
      <c r="A6" t="s">
        <v>548</v>
      </c>
    </row>
    <row r="7" spans="1:6" ht="15.75" x14ac:dyDescent="0.2">
      <c r="A7" s="36" t="s">
        <v>565</v>
      </c>
      <c r="B7">
        <v>15</v>
      </c>
      <c r="C7">
        <v>39</v>
      </c>
    </row>
    <row r="8" spans="1:6" ht="15.75" x14ac:dyDescent="0.2">
      <c r="A8" s="36" t="s">
        <v>566</v>
      </c>
      <c r="B8">
        <v>58</v>
      </c>
      <c r="C8">
        <v>53</v>
      </c>
    </row>
    <row r="9" spans="1:6" ht="15.75" x14ac:dyDescent="0.2">
      <c r="A9" s="36" t="s">
        <v>567</v>
      </c>
      <c r="B9">
        <v>17</v>
      </c>
      <c r="C9">
        <v>33</v>
      </c>
    </row>
    <row r="10" spans="1:6" x14ac:dyDescent="0.2">
      <c r="A10" t="s">
        <v>549</v>
      </c>
      <c r="B10">
        <v>62</v>
      </c>
      <c r="C10">
        <v>48</v>
      </c>
    </row>
    <row r="11" spans="1:6" x14ac:dyDescent="0.2">
      <c r="A11" t="s">
        <v>550</v>
      </c>
      <c r="B11">
        <v>46</v>
      </c>
      <c r="C11">
        <v>58</v>
      </c>
    </row>
    <row r="12" spans="1:6" x14ac:dyDescent="0.2">
      <c r="A12" t="s">
        <v>551</v>
      </c>
      <c r="B12">
        <v>58</v>
      </c>
      <c r="C12">
        <v>58</v>
      </c>
    </row>
    <row r="13" spans="1:6" x14ac:dyDescent="0.2">
      <c r="A13" t="s">
        <v>552</v>
      </c>
      <c r="B13">
        <v>40</v>
      </c>
      <c r="C13">
        <v>28</v>
      </c>
    </row>
    <row r="14" spans="1:6" x14ac:dyDescent="0.2">
      <c r="A14" t="s">
        <v>553</v>
      </c>
      <c r="B14">
        <v>57</v>
      </c>
      <c r="C14">
        <v>4</v>
      </c>
    </row>
    <row r="15" spans="1:6" x14ac:dyDescent="0.2">
      <c r="A15" t="s">
        <v>554</v>
      </c>
      <c r="B15">
        <v>78</v>
      </c>
      <c r="C15">
        <v>32</v>
      </c>
    </row>
    <row r="16" spans="1:6" x14ac:dyDescent="0.2">
      <c r="A16" t="s">
        <v>555</v>
      </c>
      <c r="B16">
        <v>43</v>
      </c>
      <c r="C16">
        <v>35</v>
      </c>
    </row>
    <row r="17" spans="1:3" x14ac:dyDescent="0.2">
      <c r="A17" t="s">
        <v>556</v>
      </c>
      <c r="B17">
        <v>79</v>
      </c>
      <c r="C17">
        <v>53</v>
      </c>
    </row>
    <row r="18" spans="1:3" x14ac:dyDescent="0.2">
      <c r="A18" t="s">
        <v>557</v>
      </c>
      <c r="B18">
        <v>15</v>
      </c>
      <c r="C18">
        <v>47</v>
      </c>
    </row>
    <row r="19" spans="1:3" x14ac:dyDescent="0.2">
      <c r="A19" t="s">
        <v>558</v>
      </c>
      <c r="B19">
        <v>75</v>
      </c>
      <c r="C19">
        <v>6</v>
      </c>
    </row>
    <row r="20" spans="1:3" x14ac:dyDescent="0.2">
      <c r="A20" t="s">
        <v>559</v>
      </c>
      <c r="B20">
        <v>14</v>
      </c>
      <c r="C20">
        <v>46</v>
      </c>
    </row>
    <row r="21" spans="1:3" x14ac:dyDescent="0.2">
      <c r="A21" t="s">
        <v>560</v>
      </c>
      <c r="B21">
        <v>35</v>
      </c>
      <c r="C21">
        <v>52</v>
      </c>
    </row>
    <row r="22" spans="1:3" x14ac:dyDescent="0.2">
      <c r="A22" t="s">
        <v>561</v>
      </c>
    </row>
    <row r="23" spans="1:3" x14ac:dyDescent="0.2">
      <c r="A23" t="s">
        <v>568</v>
      </c>
      <c r="B23">
        <v>8</v>
      </c>
      <c r="C23">
        <v>28</v>
      </c>
    </row>
    <row r="24" spans="1:3" x14ac:dyDescent="0.2">
      <c r="A24" t="s">
        <v>569</v>
      </c>
      <c r="B24">
        <v>17</v>
      </c>
      <c r="C24">
        <v>10</v>
      </c>
    </row>
    <row r="25" spans="1:3" x14ac:dyDescent="0.2">
      <c r="A25" t="s">
        <v>570</v>
      </c>
      <c r="B25">
        <v>5</v>
      </c>
      <c r="C25">
        <v>25</v>
      </c>
    </row>
    <row r="26" spans="1:3" x14ac:dyDescent="0.2">
      <c r="A26" t="s">
        <v>571</v>
      </c>
      <c r="B26">
        <v>13</v>
      </c>
      <c r="C26">
        <v>16</v>
      </c>
    </row>
    <row r="27" spans="1:3" x14ac:dyDescent="0.2">
      <c r="A27" t="s">
        <v>572</v>
      </c>
      <c r="B27">
        <v>23</v>
      </c>
      <c r="C27">
        <v>23</v>
      </c>
    </row>
    <row r="28" spans="1:3" x14ac:dyDescent="0.2">
      <c r="A28" t="s">
        <v>573</v>
      </c>
      <c r="B28">
        <v>8</v>
      </c>
      <c r="C28">
        <v>57</v>
      </c>
    </row>
    <row r="29" spans="1:3" x14ac:dyDescent="0.2">
      <c r="A29" t="s">
        <v>574</v>
      </c>
      <c r="B29">
        <v>18</v>
      </c>
      <c r="C29">
        <v>46</v>
      </c>
    </row>
    <row r="30" spans="1:3" x14ac:dyDescent="0.2">
      <c r="A30" t="s">
        <v>575</v>
      </c>
      <c r="B30">
        <v>5</v>
      </c>
      <c r="C30">
        <v>55</v>
      </c>
    </row>
    <row r="31" spans="1:3" x14ac:dyDescent="0.2">
      <c r="A31" t="s">
        <v>576</v>
      </c>
      <c r="B31">
        <v>4</v>
      </c>
      <c r="C31">
        <v>21</v>
      </c>
    </row>
    <row r="32" spans="1:3" x14ac:dyDescent="0.2">
      <c r="A32" t="s">
        <v>577</v>
      </c>
      <c r="B32">
        <v>22</v>
      </c>
      <c r="C32">
        <v>55</v>
      </c>
    </row>
    <row r="33" spans="1:3" x14ac:dyDescent="0.2">
      <c r="A33" t="s">
        <v>562</v>
      </c>
      <c r="B33">
        <v>10</v>
      </c>
      <c r="C33">
        <v>39</v>
      </c>
    </row>
    <row r="34" spans="1:3" x14ac:dyDescent="0.2">
      <c r="A34" t="s">
        <v>563</v>
      </c>
    </row>
    <row r="35" spans="1:3" x14ac:dyDescent="0.2">
      <c r="A35" t="s">
        <v>578</v>
      </c>
      <c r="B35">
        <v>23</v>
      </c>
      <c r="C35">
        <v>38</v>
      </c>
    </row>
    <row r="36" spans="1:3" x14ac:dyDescent="0.2">
      <c r="A36" t="s">
        <v>579</v>
      </c>
      <c r="B36">
        <v>26</v>
      </c>
      <c r="C36">
        <v>6</v>
      </c>
    </row>
    <row r="37" spans="1:3" x14ac:dyDescent="0.2">
      <c r="A37" s="11" t="str">
        <f>"总时长："&amp;TEXT(SUM(B:B)/1440+SUM(C:C)/86400,"[h]:mm:ss")</f>
        <v>总时长：16:30:44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16794E-744F-4D5E-88D3-DF76CD9771EA}">
  <sheetPr codeName="Sheet19"/>
  <dimension ref="A1:D51"/>
  <sheetViews>
    <sheetView workbookViewId="0">
      <selection activeCell="B3" sqref="B3:B5"/>
    </sheetView>
  </sheetViews>
  <sheetFormatPr defaultRowHeight="14.25" x14ac:dyDescent="0.2"/>
  <cols>
    <col min="1" max="1" width="36.2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30" t="s">
        <v>338</v>
      </c>
    </row>
    <row r="3" spans="1:4" x14ac:dyDescent="0.2">
      <c r="A3" t="s">
        <v>339</v>
      </c>
      <c r="B3">
        <v>34</v>
      </c>
      <c r="C3">
        <v>19</v>
      </c>
    </row>
    <row r="4" spans="1:4" x14ac:dyDescent="0.2">
      <c r="A4" t="s">
        <v>340</v>
      </c>
      <c r="B4">
        <v>44</v>
      </c>
      <c r="C4">
        <v>42</v>
      </c>
    </row>
    <row r="5" spans="1:4" x14ac:dyDescent="0.2">
      <c r="A5" t="s">
        <v>341</v>
      </c>
      <c r="B5">
        <v>27</v>
      </c>
      <c r="C5">
        <v>36</v>
      </c>
    </row>
    <row r="6" spans="1:4" x14ac:dyDescent="0.2">
      <c r="A6" t="s">
        <v>342</v>
      </c>
      <c r="B6">
        <v>46</v>
      </c>
      <c r="C6">
        <v>22</v>
      </c>
    </row>
    <row r="7" spans="1:4" x14ac:dyDescent="0.2">
      <c r="A7" t="s">
        <v>343</v>
      </c>
      <c r="B7">
        <v>61</v>
      </c>
      <c r="C7">
        <v>22</v>
      </c>
    </row>
    <row r="8" spans="1:4" x14ac:dyDescent="0.2">
      <c r="A8" t="s">
        <v>344</v>
      </c>
      <c r="B8">
        <v>47</v>
      </c>
      <c r="C8">
        <v>54</v>
      </c>
    </row>
    <row r="9" spans="1:4" x14ac:dyDescent="0.2">
      <c r="A9" t="s">
        <v>345</v>
      </c>
      <c r="B9">
        <v>55</v>
      </c>
      <c r="C9">
        <v>52</v>
      </c>
    </row>
    <row r="10" spans="1:4" x14ac:dyDescent="0.2">
      <c r="A10" t="s">
        <v>346</v>
      </c>
      <c r="B10">
        <v>35</v>
      </c>
      <c r="C10">
        <v>12</v>
      </c>
    </row>
    <row r="11" spans="1:4" x14ac:dyDescent="0.2">
      <c r="A11" t="s">
        <v>347</v>
      </c>
      <c r="B11">
        <v>24</v>
      </c>
      <c r="C11">
        <v>30</v>
      </c>
    </row>
    <row r="12" spans="1:4" x14ac:dyDescent="0.2">
      <c r="A12" t="s">
        <v>348</v>
      </c>
      <c r="B12">
        <v>45</v>
      </c>
      <c r="C12">
        <v>44</v>
      </c>
    </row>
    <row r="13" spans="1:4" x14ac:dyDescent="0.2">
      <c r="A13" t="s">
        <v>349</v>
      </c>
      <c r="B13">
        <v>59</v>
      </c>
      <c r="C13">
        <v>27</v>
      </c>
    </row>
    <row r="14" spans="1:4" x14ac:dyDescent="0.2">
      <c r="A14" t="s">
        <v>350</v>
      </c>
      <c r="B14">
        <v>9</v>
      </c>
      <c r="C14">
        <v>49</v>
      </c>
    </row>
    <row r="15" spans="1:4" x14ac:dyDescent="0.2">
      <c r="A15" s="30" t="s">
        <v>351</v>
      </c>
    </row>
    <row r="16" spans="1:4" x14ac:dyDescent="0.2">
      <c r="A16" t="s">
        <v>352</v>
      </c>
      <c r="B16">
        <v>59</v>
      </c>
      <c r="C16">
        <v>33</v>
      </c>
    </row>
    <row r="17" spans="1:3" x14ac:dyDescent="0.2">
      <c r="A17" t="s">
        <v>353</v>
      </c>
      <c r="B17">
        <v>50</v>
      </c>
      <c r="C17">
        <v>51</v>
      </c>
    </row>
    <row r="18" spans="1:3" x14ac:dyDescent="0.2">
      <c r="A18" t="s">
        <v>354</v>
      </c>
      <c r="B18">
        <v>18</v>
      </c>
      <c r="C18">
        <v>38</v>
      </c>
    </row>
    <row r="19" spans="1:3" x14ac:dyDescent="0.2">
      <c r="A19" t="s">
        <v>355</v>
      </c>
      <c r="B19">
        <v>52</v>
      </c>
      <c r="C19">
        <v>19</v>
      </c>
    </row>
    <row r="20" spans="1:3" x14ac:dyDescent="0.2">
      <c r="A20" t="s">
        <v>356</v>
      </c>
      <c r="B20">
        <v>18</v>
      </c>
      <c r="C20">
        <v>29</v>
      </c>
    </row>
    <row r="21" spans="1:3" x14ac:dyDescent="0.2">
      <c r="A21" t="s">
        <v>357</v>
      </c>
      <c r="B21">
        <v>49</v>
      </c>
      <c r="C21">
        <v>24</v>
      </c>
    </row>
    <row r="22" spans="1:3" x14ac:dyDescent="0.2">
      <c r="A22" t="s">
        <v>358</v>
      </c>
      <c r="B22">
        <v>55</v>
      </c>
      <c r="C22">
        <v>50</v>
      </c>
    </row>
    <row r="23" spans="1:3" x14ac:dyDescent="0.2">
      <c r="A23" t="s">
        <v>359</v>
      </c>
      <c r="B23">
        <v>69</v>
      </c>
      <c r="C23">
        <v>52</v>
      </c>
    </row>
    <row r="24" spans="1:3" x14ac:dyDescent="0.2">
      <c r="A24" t="s">
        <v>360</v>
      </c>
      <c r="B24">
        <v>64</v>
      </c>
      <c r="C24">
        <v>41</v>
      </c>
    </row>
    <row r="25" spans="1:3" x14ac:dyDescent="0.2">
      <c r="A25" t="s">
        <v>361</v>
      </c>
      <c r="B25">
        <v>17</v>
      </c>
      <c r="C25">
        <v>31</v>
      </c>
    </row>
    <row r="26" spans="1:3" x14ac:dyDescent="0.2">
      <c r="A26" s="30" t="s">
        <v>362</v>
      </c>
    </row>
    <row r="27" spans="1:3" x14ac:dyDescent="0.2">
      <c r="A27" t="s">
        <v>363</v>
      </c>
      <c r="B27">
        <v>26</v>
      </c>
      <c r="C27">
        <v>56</v>
      </c>
    </row>
    <row r="28" spans="1:3" x14ac:dyDescent="0.2">
      <c r="A28" t="s">
        <v>364</v>
      </c>
      <c r="B28">
        <v>30</v>
      </c>
      <c r="C28">
        <v>24</v>
      </c>
    </row>
    <row r="29" spans="1:3" x14ac:dyDescent="0.2">
      <c r="A29" t="s">
        <v>365</v>
      </c>
      <c r="B29">
        <v>41</v>
      </c>
      <c r="C29">
        <v>8</v>
      </c>
    </row>
    <row r="30" spans="1:3" x14ac:dyDescent="0.2">
      <c r="A30" t="s">
        <v>366</v>
      </c>
      <c r="B30">
        <v>36</v>
      </c>
      <c r="C30">
        <v>49</v>
      </c>
    </row>
    <row r="31" spans="1:3" x14ac:dyDescent="0.2">
      <c r="A31" t="s">
        <v>367</v>
      </c>
      <c r="B31">
        <v>65</v>
      </c>
      <c r="C31">
        <v>5</v>
      </c>
    </row>
    <row r="32" spans="1:3" x14ac:dyDescent="0.2">
      <c r="A32" s="30" t="s">
        <v>368</v>
      </c>
    </row>
    <row r="33" spans="1:3" x14ac:dyDescent="0.2">
      <c r="A33" t="s">
        <v>369</v>
      </c>
      <c r="B33">
        <v>25</v>
      </c>
      <c r="C33">
        <v>7</v>
      </c>
    </row>
    <row r="34" spans="1:3" x14ac:dyDescent="0.2">
      <c r="A34" t="s">
        <v>370</v>
      </c>
      <c r="B34">
        <v>41</v>
      </c>
      <c r="C34">
        <v>4</v>
      </c>
    </row>
    <row r="35" spans="1:3" x14ac:dyDescent="0.2">
      <c r="A35" t="s">
        <v>371</v>
      </c>
      <c r="B35">
        <v>11</v>
      </c>
      <c r="C35">
        <v>52</v>
      </c>
    </row>
    <row r="36" spans="1:3" x14ac:dyDescent="0.2">
      <c r="A36" s="30" t="s">
        <v>372</v>
      </c>
    </row>
    <row r="37" spans="1:3" x14ac:dyDescent="0.2">
      <c r="A37" t="s">
        <v>373</v>
      </c>
      <c r="B37">
        <v>47</v>
      </c>
      <c r="C37">
        <v>42</v>
      </c>
    </row>
    <row r="38" spans="1:3" x14ac:dyDescent="0.2">
      <c r="A38" t="s">
        <v>374</v>
      </c>
      <c r="B38">
        <v>34</v>
      </c>
      <c r="C38">
        <v>12</v>
      </c>
    </row>
    <row r="39" spans="1:3" x14ac:dyDescent="0.2">
      <c r="A39" t="s">
        <v>375</v>
      </c>
      <c r="B39">
        <v>10</v>
      </c>
      <c r="C39">
        <v>41</v>
      </c>
    </row>
    <row r="40" spans="1:3" x14ac:dyDescent="0.2">
      <c r="A40" t="s">
        <v>376</v>
      </c>
      <c r="B40">
        <v>46</v>
      </c>
      <c r="C40">
        <v>0</v>
      </c>
    </row>
    <row r="41" spans="1:3" x14ac:dyDescent="0.2">
      <c r="A41" t="s">
        <v>377</v>
      </c>
      <c r="B41">
        <v>25</v>
      </c>
      <c r="C41">
        <v>35</v>
      </c>
    </row>
    <row r="42" spans="1:3" x14ac:dyDescent="0.2">
      <c r="A42" t="s">
        <v>378</v>
      </c>
      <c r="B42">
        <v>9</v>
      </c>
      <c r="C42">
        <v>42</v>
      </c>
    </row>
    <row r="43" spans="1:3" x14ac:dyDescent="0.2">
      <c r="A43" t="s">
        <v>379</v>
      </c>
      <c r="B43">
        <v>49</v>
      </c>
      <c r="C43">
        <v>16</v>
      </c>
    </row>
    <row r="44" spans="1:3" x14ac:dyDescent="0.2">
      <c r="A44" t="s">
        <v>380</v>
      </c>
      <c r="B44">
        <v>21</v>
      </c>
      <c r="C44">
        <v>18</v>
      </c>
    </row>
    <row r="45" spans="1:3" x14ac:dyDescent="0.2">
      <c r="A45" t="s">
        <v>381</v>
      </c>
      <c r="B45">
        <v>9</v>
      </c>
      <c r="C45">
        <v>4</v>
      </c>
    </row>
    <row r="46" spans="1:3" x14ac:dyDescent="0.2">
      <c r="A46" t="s">
        <v>382</v>
      </c>
      <c r="B46">
        <v>10</v>
      </c>
      <c r="C46">
        <v>3</v>
      </c>
    </row>
    <row r="47" spans="1:3" x14ac:dyDescent="0.2">
      <c r="A47" t="s">
        <v>383</v>
      </c>
      <c r="B47">
        <v>25</v>
      </c>
      <c r="C47">
        <v>22</v>
      </c>
    </row>
    <row r="48" spans="1:3" x14ac:dyDescent="0.2">
      <c r="A48" t="s">
        <v>384</v>
      </c>
      <c r="B48">
        <v>48</v>
      </c>
      <c r="C48">
        <v>10</v>
      </c>
    </row>
    <row r="49" spans="1:3" x14ac:dyDescent="0.2">
      <c r="A49" t="s">
        <v>385</v>
      </c>
      <c r="B49">
        <v>23</v>
      </c>
      <c r="C49">
        <v>47</v>
      </c>
    </row>
    <row r="50" spans="1:3" x14ac:dyDescent="0.2">
      <c r="A50" t="s">
        <v>386</v>
      </c>
      <c r="B50">
        <v>25</v>
      </c>
      <c r="C50">
        <v>6</v>
      </c>
    </row>
    <row r="51" spans="1:3" x14ac:dyDescent="0.2">
      <c r="A51" s="9" t="str">
        <f>"总时长："&amp;TEXT(SUM(B:B)/1440+SUM(C:C)/86400,"[h]:mm:ss")</f>
        <v>总时长：26:54:20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8140B-BC28-463F-83D4-E613D48B68A9}">
  <dimension ref="A1:D54"/>
  <sheetViews>
    <sheetView topLeftCell="A24" workbookViewId="0">
      <selection activeCell="A54" sqref="A54"/>
    </sheetView>
  </sheetViews>
  <sheetFormatPr defaultRowHeight="14.25" x14ac:dyDescent="0.2"/>
  <cols>
    <col min="1" max="1" width="20.5" bestFit="1" customWidth="1"/>
    <col min="2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t="s">
        <v>601</v>
      </c>
      <c r="B2">
        <v>46</v>
      </c>
      <c r="C2">
        <v>47</v>
      </c>
    </row>
    <row r="3" spans="1:4" x14ac:dyDescent="0.2">
      <c r="A3" t="s">
        <v>602</v>
      </c>
      <c r="B3">
        <v>48</v>
      </c>
      <c r="C3">
        <v>41</v>
      </c>
    </row>
    <row r="4" spans="1:4" x14ac:dyDescent="0.2">
      <c r="A4" t="s">
        <v>603</v>
      </c>
      <c r="B4">
        <v>46</v>
      </c>
      <c r="C4">
        <v>30</v>
      </c>
    </row>
    <row r="5" spans="1:4" x14ac:dyDescent="0.2">
      <c r="A5" t="s">
        <v>604</v>
      </c>
      <c r="B5">
        <v>37</v>
      </c>
      <c r="C5">
        <v>30</v>
      </c>
    </row>
    <row r="6" spans="1:4" x14ac:dyDescent="0.2">
      <c r="A6" t="s">
        <v>605</v>
      </c>
      <c r="B6">
        <v>71</v>
      </c>
      <c r="C6">
        <v>33</v>
      </c>
    </row>
    <row r="7" spans="1:4" x14ac:dyDescent="0.2">
      <c r="A7" t="s">
        <v>606</v>
      </c>
      <c r="B7">
        <v>32</v>
      </c>
      <c r="C7">
        <v>25</v>
      </c>
    </row>
    <row r="8" spans="1:4" x14ac:dyDescent="0.2">
      <c r="A8" t="s">
        <v>607</v>
      </c>
      <c r="B8">
        <v>54</v>
      </c>
      <c r="C8">
        <v>36</v>
      </c>
    </row>
    <row r="9" spans="1:4" x14ac:dyDescent="0.2">
      <c r="A9" t="s">
        <v>608</v>
      </c>
      <c r="B9">
        <v>18</v>
      </c>
      <c r="C9">
        <v>35</v>
      </c>
    </row>
    <row r="10" spans="1:4" x14ac:dyDescent="0.2">
      <c r="A10" t="s">
        <v>609</v>
      </c>
      <c r="B10">
        <v>33</v>
      </c>
      <c r="C10">
        <v>49</v>
      </c>
    </row>
    <row r="11" spans="1:4" x14ac:dyDescent="0.2">
      <c r="A11" t="s">
        <v>610</v>
      </c>
      <c r="B11">
        <v>32</v>
      </c>
      <c r="C11">
        <v>39</v>
      </c>
    </row>
    <row r="12" spans="1:4" x14ac:dyDescent="0.2">
      <c r="A12" t="s">
        <v>611</v>
      </c>
      <c r="B12">
        <v>62</v>
      </c>
      <c r="C12">
        <v>40</v>
      </c>
    </row>
    <row r="13" spans="1:4" x14ac:dyDescent="0.2">
      <c r="A13" t="s">
        <v>612</v>
      </c>
      <c r="B13">
        <v>27</v>
      </c>
      <c r="C13">
        <v>42</v>
      </c>
    </row>
    <row r="14" spans="1:4" x14ac:dyDescent="0.2">
      <c r="A14" t="s">
        <v>613</v>
      </c>
      <c r="B14">
        <v>50</v>
      </c>
      <c r="C14">
        <v>29</v>
      </c>
    </row>
    <row r="15" spans="1:4" x14ac:dyDescent="0.2">
      <c r="A15" t="s">
        <v>614</v>
      </c>
      <c r="B15">
        <v>21</v>
      </c>
      <c r="C15">
        <v>21</v>
      </c>
    </row>
    <row r="16" spans="1:4" x14ac:dyDescent="0.2">
      <c r="A16" t="s">
        <v>615</v>
      </c>
      <c r="B16">
        <v>36</v>
      </c>
      <c r="C16">
        <v>25</v>
      </c>
    </row>
    <row r="17" spans="1:3" x14ac:dyDescent="0.2">
      <c r="A17" t="s">
        <v>616</v>
      </c>
      <c r="B17">
        <v>73</v>
      </c>
      <c r="C17">
        <v>48</v>
      </c>
    </row>
    <row r="18" spans="1:3" x14ac:dyDescent="0.2">
      <c r="A18" t="s">
        <v>617</v>
      </c>
      <c r="B18">
        <v>39</v>
      </c>
      <c r="C18">
        <v>0</v>
      </c>
    </row>
    <row r="19" spans="1:3" x14ac:dyDescent="0.2">
      <c r="A19" t="s">
        <v>618</v>
      </c>
      <c r="B19">
        <v>62</v>
      </c>
      <c r="C19">
        <v>14</v>
      </c>
    </row>
    <row r="20" spans="1:3" x14ac:dyDescent="0.2">
      <c r="A20" t="s">
        <v>619</v>
      </c>
      <c r="B20">
        <v>55</v>
      </c>
      <c r="C20">
        <v>11</v>
      </c>
    </row>
    <row r="21" spans="1:3" x14ac:dyDescent="0.2">
      <c r="A21" t="s">
        <v>620</v>
      </c>
      <c r="B21">
        <v>29</v>
      </c>
      <c r="C21">
        <v>20</v>
      </c>
    </row>
    <row r="22" spans="1:3" x14ac:dyDescent="0.2">
      <c r="A22" t="s">
        <v>621</v>
      </c>
      <c r="B22">
        <v>41</v>
      </c>
      <c r="C22">
        <v>2</v>
      </c>
    </row>
    <row r="23" spans="1:3" x14ac:dyDescent="0.2">
      <c r="A23" t="s">
        <v>622</v>
      </c>
      <c r="B23">
        <v>26</v>
      </c>
      <c r="C23">
        <v>25</v>
      </c>
    </row>
    <row r="24" spans="1:3" x14ac:dyDescent="0.2">
      <c r="A24" t="s">
        <v>623</v>
      </c>
      <c r="B24">
        <v>37</v>
      </c>
      <c r="C24">
        <v>4</v>
      </c>
    </row>
    <row r="25" spans="1:3" x14ac:dyDescent="0.2">
      <c r="A25" t="s">
        <v>624</v>
      </c>
      <c r="B25">
        <v>26</v>
      </c>
      <c r="C25">
        <v>6</v>
      </c>
    </row>
    <row r="26" spans="1:3" x14ac:dyDescent="0.2">
      <c r="A26" t="s">
        <v>625</v>
      </c>
      <c r="B26">
        <v>60</v>
      </c>
      <c r="C26">
        <v>5</v>
      </c>
    </row>
    <row r="27" spans="1:3" x14ac:dyDescent="0.2">
      <c r="A27" t="s">
        <v>626</v>
      </c>
      <c r="B27">
        <v>60</v>
      </c>
      <c r="C27">
        <v>36</v>
      </c>
    </row>
    <row r="28" spans="1:3" x14ac:dyDescent="0.2">
      <c r="A28" t="s">
        <v>627</v>
      </c>
      <c r="B28">
        <v>49</v>
      </c>
      <c r="C28">
        <v>5</v>
      </c>
    </row>
    <row r="29" spans="1:3" x14ac:dyDescent="0.2">
      <c r="A29" t="s">
        <v>628</v>
      </c>
      <c r="B29">
        <v>51</v>
      </c>
      <c r="C29">
        <v>32</v>
      </c>
    </row>
    <row r="30" spans="1:3" x14ac:dyDescent="0.2">
      <c r="A30" t="s">
        <v>629</v>
      </c>
      <c r="B30">
        <v>33</v>
      </c>
      <c r="C30">
        <v>0</v>
      </c>
    </row>
    <row r="31" spans="1:3" x14ac:dyDescent="0.2">
      <c r="A31" t="s">
        <v>630</v>
      </c>
      <c r="B31">
        <v>24</v>
      </c>
      <c r="C31">
        <v>13</v>
      </c>
    </row>
    <row r="32" spans="1:3" x14ac:dyDescent="0.2">
      <c r="A32" t="s">
        <v>631</v>
      </c>
      <c r="B32">
        <v>83</v>
      </c>
      <c r="C32">
        <v>37</v>
      </c>
    </row>
    <row r="33" spans="1:3" x14ac:dyDescent="0.2">
      <c r="A33" t="s">
        <v>632</v>
      </c>
      <c r="B33">
        <v>40</v>
      </c>
      <c r="C33">
        <v>32</v>
      </c>
    </row>
    <row r="34" spans="1:3" x14ac:dyDescent="0.2">
      <c r="A34" t="s">
        <v>633</v>
      </c>
      <c r="B34">
        <v>44</v>
      </c>
      <c r="C34">
        <v>4</v>
      </c>
    </row>
    <row r="35" spans="1:3" x14ac:dyDescent="0.2">
      <c r="A35" t="s">
        <v>634</v>
      </c>
      <c r="B35">
        <v>77</v>
      </c>
      <c r="C35">
        <v>11</v>
      </c>
    </row>
    <row r="36" spans="1:3" x14ac:dyDescent="0.2">
      <c r="A36" t="s">
        <v>635</v>
      </c>
      <c r="B36">
        <v>57</v>
      </c>
      <c r="C36">
        <v>22</v>
      </c>
    </row>
    <row r="37" spans="1:3" x14ac:dyDescent="0.2">
      <c r="A37" t="s">
        <v>636</v>
      </c>
      <c r="B37">
        <v>34</v>
      </c>
      <c r="C37">
        <v>27</v>
      </c>
    </row>
    <row r="38" spans="1:3" x14ac:dyDescent="0.2">
      <c r="A38" t="s">
        <v>637</v>
      </c>
      <c r="B38">
        <v>40</v>
      </c>
      <c r="C38">
        <v>32</v>
      </c>
    </row>
    <row r="39" spans="1:3" x14ac:dyDescent="0.2">
      <c r="A39" t="s">
        <v>638</v>
      </c>
      <c r="B39">
        <v>63</v>
      </c>
      <c r="C39">
        <v>27</v>
      </c>
    </row>
    <row r="40" spans="1:3" x14ac:dyDescent="0.2">
      <c r="A40" t="s">
        <v>639</v>
      </c>
      <c r="B40">
        <v>66</v>
      </c>
      <c r="C40">
        <v>16</v>
      </c>
    </row>
    <row r="41" spans="1:3" x14ac:dyDescent="0.2">
      <c r="A41" t="s">
        <v>640</v>
      </c>
      <c r="B41">
        <v>51</v>
      </c>
      <c r="C41">
        <v>0</v>
      </c>
    </row>
    <row r="42" spans="1:3" x14ac:dyDescent="0.2">
      <c r="A42" t="s">
        <v>641</v>
      </c>
      <c r="B42">
        <v>47</v>
      </c>
      <c r="C42">
        <v>17</v>
      </c>
    </row>
    <row r="43" spans="1:3" x14ac:dyDescent="0.2">
      <c r="A43" t="s">
        <v>642</v>
      </c>
      <c r="B43">
        <v>78</v>
      </c>
      <c r="C43">
        <v>7</v>
      </c>
    </row>
    <row r="44" spans="1:3" x14ac:dyDescent="0.2">
      <c r="A44" t="s">
        <v>643</v>
      </c>
      <c r="B44">
        <v>41</v>
      </c>
      <c r="C44">
        <v>38</v>
      </c>
    </row>
    <row r="45" spans="1:3" x14ac:dyDescent="0.2">
      <c r="A45" t="s">
        <v>644</v>
      </c>
      <c r="B45">
        <v>64</v>
      </c>
      <c r="C45">
        <v>31</v>
      </c>
    </row>
    <row r="46" spans="1:3" x14ac:dyDescent="0.2">
      <c r="A46" t="s">
        <v>645</v>
      </c>
      <c r="B46">
        <v>79</v>
      </c>
      <c r="C46">
        <v>20</v>
      </c>
    </row>
    <row r="47" spans="1:3" x14ac:dyDescent="0.2">
      <c r="A47" t="s">
        <v>646</v>
      </c>
      <c r="B47">
        <v>93</v>
      </c>
      <c r="C47">
        <v>43</v>
      </c>
    </row>
    <row r="48" spans="1:3" x14ac:dyDescent="0.2">
      <c r="A48" t="s">
        <v>647</v>
      </c>
      <c r="B48">
        <v>46</v>
      </c>
      <c r="C48">
        <v>49</v>
      </c>
    </row>
    <row r="49" spans="1:3" x14ac:dyDescent="0.2">
      <c r="A49" t="s">
        <v>648</v>
      </c>
      <c r="B49">
        <v>42</v>
      </c>
      <c r="C49">
        <v>36</v>
      </c>
    </row>
    <row r="50" spans="1:3" x14ac:dyDescent="0.2">
      <c r="A50" t="s">
        <v>649</v>
      </c>
      <c r="B50">
        <v>68</v>
      </c>
      <c r="C50">
        <v>17</v>
      </c>
    </row>
    <row r="51" spans="1:3" x14ac:dyDescent="0.2">
      <c r="A51" t="s">
        <v>650</v>
      </c>
      <c r="B51">
        <v>75</v>
      </c>
      <c r="C51">
        <v>18</v>
      </c>
    </row>
    <row r="52" spans="1:3" x14ac:dyDescent="0.2">
      <c r="A52" t="s">
        <v>651</v>
      </c>
      <c r="B52">
        <v>25</v>
      </c>
      <c r="C52">
        <v>19</v>
      </c>
    </row>
    <row r="53" spans="1:3" x14ac:dyDescent="0.2">
      <c r="A53" t="s">
        <v>652</v>
      </c>
      <c r="B53">
        <v>9</v>
      </c>
      <c r="C53">
        <v>24</v>
      </c>
    </row>
    <row r="54" spans="1:3" x14ac:dyDescent="0.2">
      <c r="A54" s="65" t="str">
        <f>"总时长："&amp;TEXT(SUM(B:B)/1440+SUM(C:C)/86400,"[h]:mm:ss")</f>
        <v>总时长：42:01:10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7C62C-B5D1-4E72-812F-7EA03DA117C7}">
  <dimension ref="A1:D69"/>
  <sheetViews>
    <sheetView topLeftCell="A46" workbookViewId="0">
      <selection activeCell="A69" sqref="A69"/>
    </sheetView>
  </sheetViews>
  <sheetFormatPr defaultRowHeight="14.25" x14ac:dyDescent="0.2"/>
  <cols>
    <col min="1" max="1" width="29.875" bestFit="1" customWidth="1"/>
    <col min="3" max="3" width="9.375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x14ac:dyDescent="0.2">
      <c r="A2" s="66" t="s">
        <v>653</v>
      </c>
    </row>
    <row r="3" spans="1:4" x14ac:dyDescent="0.2">
      <c r="A3" t="s">
        <v>719</v>
      </c>
      <c r="B3">
        <v>5</v>
      </c>
      <c r="C3">
        <v>45</v>
      </c>
    </row>
    <row r="4" spans="1:4" x14ac:dyDescent="0.2">
      <c r="A4" t="s">
        <v>654</v>
      </c>
      <c r="B4">
        <v>42</v>
      </c>
      <c r="C4">
        <v>51</v>
      </c>
    </row>
    <row r="5" spans="1:4" x14ac:dyDescent="0.2">
      <c r="A5" t="s">
        <v>655</v>
      </c>
      <c r="B5">
        <v>41</v>
      </c>
      <c r="C5">
        <v>23</v>
      </c>
    </row>
    <row r="6" spans="1:4" x14ac:dyDescent="0.2">
      <c r="A6" t="s">
        <v>656</v>
      </c>
      <c r="B6">
        <v>16</v>
      </c>
      <c r="C6">
        <v>11</v>
      </c>
    </row>
    <row r="7" spans="1:4" x14ac:dyDescent="0.2">
      <c r="A7" t="s">
        <v>657</v>
      </c>
      <c r="B7">
        <v>51</v>
      </c>
      <c r="C7">
        <v>16</v>
      </c>
    </row>
    <row r="8" spans="1:4" x14ac:dyDescent="0.2">
      <c r="A8" t="s">
        <v>658</v>
      </c>
      <c r="B8">
        <v>40</v>
      </c>
      <c r="C8">
        <v>43</v>
      </c>
    </row>
    <row r="9" spans="1:4" x14ac:dyDescent="0.2">
      <c r="A9" t="s">
        <v>718</v>
      </c>
      <c r="B9">
        <v>21</v>
      </c>
      <c r="C9">
        <v>2</v>
      </c>
    </row>
    <row r="10" spans="1:4" x14ac:dyDescent="0.2">
      <c r="A10" t="s">
        <v>659</v>
      </c>
      <c r="B10">
        <v>21</v>
      </c>
      <c r="C10">
        <v>45</v>
      </c>
    </row>
    <row r="11" spans="1:4" x14ac:dyDescent="0.2">
      <c r="A11" t="s">
        <v>660</v>
      </c>
      <c r="B11">
        <v>38</v>
      </c>
      <c r="C11">
        <v>4</v>
      </c>
    </row>
    <row r="12" spans="1:4" x14ac:dyDescent="0.2">
      <c r="A12" t="s">
        <v>661</v>
      </c>
      <c r="B12">
        <v>51</v>
      </c>
      <c r="C12">
        <v>0</v>
      </c>
    </row>
    <row r="13" spans="1:4" x14ac:dyDescent="0.2">
      <c r="A13" t="s">
        <v>662</v>
      </c>
      <c r="B13">
        <v>48</v>
      </c>
      <c r="C13">
        <v>43</v>
      </c>
    </row>
    <row r="14" spans="1:4" x14ac:dyDescent="0.2">
      <c r="A14" t="s">
        <v>663</v>
      </c>
      <c r="B14">
        <v>24</v>
      </c>
      <c r="C14">
        <v>25</v>
      </c>
    </row>
    <row r="15" spans="1:4" x14ac:dyDescent="0.2">
      <c r="A15" t="s">
        <v>664</v>
      </c>
      <c r="B15">
        <v>44</v>
      </c>
      <c r="C15">
        <v>49</v>
      </c>
    </row>
    <row r="16" spans="1:4" x14ac:dyDescent="0.2">
      <c r="A16" t="s">
        <v>665</v>
      </c>
      <c r="B16">
        <v>21</v>
      </c>
      <c r="C16">
        <v>47</v>
      </c>
    </row>
    <row r="17" spans="1:3" x14ac:dyDescent="0.2">
      <c r="A17" t="s">
        <v>666</v>
      </c>
      <c r="B17">
        <v>26</v>
      </c>
      <c r="C17">
        <v>46</v>
      </c>
    </row>
    <row r="18" spans="1:3" x14ac:dyDescent="0.2">
      <c r="A18" t="s">
        <v>667</v>
      </c>
      <c r="B18">
        <v>24</v>
      </c>
      <c r="C18">
        <v>55</v>
      </c>
    </row>
    <row r="19" spans="1:3" x14ac:dyDescent="0.2">
      <c r="A19" t="s">
        <v>668</v>
      </c>
      <c r="B19">
        <v>14</v>
      </c>
      <c r="C19">
        <v>37</v>
      </c>
    </row>
    <row r="20" spans="1:3" x14ac:dyDescent="0.2">
      <c r="A20" t="s">
        <v>669</v>
      </c>
      <c r="B20">
        <v>17</v>
      </c>
      <c r="C20">
        <v>39</v>
      </c>
    </row>
    <row r="21" spans="1:3" x14ac:dyDescent="0.2">
      <c r="A21" t="s">
        <v>670</v>
      </c>
      <c r="B21">
        <v>68</v>
      </c>
      <c r="C21">
        <v>2</v>
      </c>
    </row>
    <row r="22" spans="1:3" x14ac:dyDescent="0.2">
      <c r="A22" s="66" t="s">
        <v>671</v>
      </c>
    </row>
    <row r="23" spans="1:3" x14ac:dyDescent="0.2">
      <c r="A23" t="s">
        <v>672</v>
      </c>
      <c r="B23">
        <v>9</v>
      </c>
      <c r="C23">
        <v>6</v>
      </c>
    </row>
    <row r="24" spans="1:3" x14ac:dyDescent="0.2">
      <c r="A24" t="s">
        <v>673</v>
      </c>
      <c r="B24">
        <v>16</v>
      </c>
      <c r="C24">
        <v>4</v>
      </c>
    </row>
    <row r="25" spans="1:3" x14ac:dyDescent="0.2">
      <c r="A25" t="s">
        <v>674</v>
      </c>
      <c r="B25">
        <v>7</v>
      </c>
      <c r="C25">
        <v>1</v>
      </c>
    </row>
    <row r="26" spans="1:3" x14ac:dyDescent="0.2">
      <c r="A26" t="s">
        <v>675</v>
      </c>
      <c r="B26">
        <v>44</v>
      </c>
      <c r="C26">
        <v>55</v>
      </c>
    </row>
    <row r="27" spans="1:3" x14ac:dyDescent="0.2">
      <c r="A27" t="s">
        <v>676</v>
      </c>
      <c r="B27">
        <v>37</v>
      </c>
      <c r="C27">
        <v>21</v>
      </c>
    </row>
    <row r="28" spans="1:3" x14ac:dyDescent="0.2">
      <c r="A28" t="s">
        <v>677</v>
      </c>
      <c r="B28">
        <v>27</v>
      </c>
      <c r="C28">
        <v>14</v>
      </c>
    </row>
    <row r="29" spans="1:3" x14ac:dyDescent="0.2">
      <c r="A29" t="s">
        <v>678</v>
      </c>
      <c r="B29">
        <v>16</v>
      </c>
      <c r="C29">
        <v>5</v>
      </c>
    </row>
    <row r="30" spans="1:3" x14ac:dyDescent="0.2">
      <c r="A30" t="s">
        <v>679</v>
      </c>
      <c r="B30">
        <v>47</v>
      </c>
      <c r="C30">
        <v>31</v>
      </c>
    </row>
    <row r="31" spans="1:3" x14ac:dyDescent="0.2">
      <c r="A31" s="66" t="s">
        <v>680</v>
      </c>
    </row>
    <row r="32" spans="1:3" x14ac:dyDescent="0.2">
      <c r="A32" t="s">
        <v>681</v>
      </c>
      <c r="B32">
        <v>24</v>
      </c>
      <c r="C32">
        <v>12</v>
      </c>
    </row>
    <row r="33" spans="1:3" x14ac:dyDescent="0.2">
      <c r="A33" t="s">
        <v>682</v>
      </c>
      <c r="B33">
        <v>28</v>
      </c>
      <c r="C33">
        <v>54</v>
      </c>
    </row>
    <row r="34" spans="1:3" x14ac:dyDescent="0.2">
      <c r="A34" t="s">
        <v>683</v>
      </c>
      <c r="B34">
        <v>24</v>
      </c>
      <c r="C34">
        <v>38</v>
      </c>
    </row>
    <row r="35" spans="1:3" x14ac:dyDescent="0.2">
      <c r="A35" t="s">
        <v>684</v>
      </c>
      <c r="B35">
        <v>16</v>
      </c>
      <c r="C35">
        <v>57</v>
      </c>
    </row>
    <row r="36" spans="1:3" x14ac:dyDescent="0.2">
      <c r="A36" t="s">
        <v>685</v>
      </c>
      <c r="B36">
        <v>45</v>
      </c>
      <c r="C36">
        <v>19</v>
      </c>
    </row>
    <row r="37" spans="1:3" x14ac:dyDescent="0.2">
      <c r="A37" t="s">
        <v>686</v>
      </c>
      <c r="B37">
        <v>52</v>
      </c>
      <c r="C37">
        <v>26</v>
      </c>
    </row>
    <row r="38" spans="1:3" x14ac:dyDescent="0.2">
      <c r="A38" t="s">
        <v>687</v>
      </c>
      <c r="B38">
        <v>13</v>
      </c>
      <c r="C38">
        <v>53</v>
      </c>
    </row>
    <row r="39" spans="1:3" x14ac:dyDescent="0.2">
      <c r="A39" t="s">
        <v>688</v>
      </c>
      <c r="B39">
        <v>69</v>
      </c>
      <c r="C39">
        <v>24</v>
      </c>
    </row>
    <row r="40" spans="1:3" x14ac:dyDescent="0.2">
      <c r="A40" t="s">
        <v>689</v>
      </c>
      <c r="B40">
        <v>14</v>
      </c>
      <c r="C40">
        <v>11</v>
      </c>
    </row>
    <row r="41" spans="1:3" x14ac:dyDescent="0.2">
      <c r="A41" t="s">
        <v>690</v>
      </c>
      <c r="B41">
        <v>17</v>
      </c>
      <c r="C41">
        <v>25</v>
      </c>
    </row>
    <row r="42" spans="1:3" x14ac:dyDescent="0.2">
      <c r="A42" s="66" t="s">
        <v>691</v>
      </c>
    </row>
    <row r="43" spans="1:3" x14ac:dyDescent="0.2">
      <c r="A43" t="s">
        <v>692</v>
      </c>
      <c r="B43">
        <v>12</v>
      </c>
      <c r="C43">
        <v>39</v>
      </c>
    </row>
    <row r="44" spans="1:3" x14ac:dyDescent="0.2">
      <c r="A44" t="s">
        <v>693</v>
      </c>
      <c r="B44">
        <v>22</v>
      </c>
      <c r="C44">
        <v>36</v>
      </c>
    </row>
    <row r="45" spans="1:3" x14ac:dyDescent="0.2">
      <c r="A45" t="s">
        <v>694</v>
      </c>
      <c r="B45">
        <v>24</v>
      </c>
      <c r="C45">
        <v>54</v>
      </c>
    </row>
    <row r="46" spans="1:3" x14ac:dyDescent="0.2">
      <c r="A46" t="s">
        <v>695</v>
      </c>
      <c r="B46">
        <v>10</v>
      </c>
      <c r="C46">
        <v>13</v>
      </c>
    </row>
    <row r="47" spans="1:3" x14ac:dyDescent="0.2">
      <c r="A47" t="s">
        <v>696</v>
      </c>
      <c r="B47">
        <v>31</v>
      </c>
      <c r="C47">
        <v>29</v>
      </c>
    </row>
    <row r="48" spans="1:3" x14ac:dyDescent="0.2">
      <c r="A48" t="s">
        <v>697</v>
      </c>
      <c r="B48">
        <v>40</v>
      </c>
      <c r="C48">
        <v>18</v>
      </c>
    </row>
    <row r="49" spans="1:3" x14ac:dyDescent="0.2">
      <c r="A49" s="66" t="s">
        <v>698</v>
      </c>
    </row>
    <row r="50" spans="1:3" x14ac:dyDescent="0.2">
      <c r="A50" t="s">
        <v>699</v>
      </c>
      <c r="B50">
        <v>15</v>
      </c>
      <c r="C50">
        <v>51</v>
      </c>
    </row>
    <row r="51" spans="1:3" x14ac:dyDescent="0.2">
      <c r="A51" t="s">
        <v>700</v>
      </c>
      <c r="B51">
        <v>23</v>
      </c>
      <c r="C51">
        <v>17</v>
      </c>
    </row>
    <row r="52" spans="1:3" x14ac:dyDescent="0.2">
      <c r="A52" t="s">
        <v>701</v>
      </c>
      <c r="B52">
        <v>33</v>
      </c>
      <c r="C52">
        <v>2</v>
      </c>
    </row>
    <row r="53" spans="1:3" x14ac:dyDescent="0.2">
      <c r="A53" t="s">
        <v>702</v>
      </c>
      <c r="B53">
        <v>22</v>
      </c>
      <c r="C53">
        <v>54</v>
      </c>
    </row>
    <row r="54" spans="1:3" x14ac:dyDescent="0.2">
      <c r="A54" t="s">
        <v>703</v>
      </c>
      <c r="B54">
        <v>45</v>
      </c>
      <c r="C54">
        <v>24</v>
      </c>
    </row>
    <row r="55" spans="1:3" x14ac:dyDescent="0.2">
      <c r="A55" t="s">
        <v>704</v>
      </c>
      <c r="B55">
        <v>51</v>
      </c>
      <c r="C55">
        <v>4</v>
      </c>
    </row>
    <row r="56" spans="1:3" x14ac:dyDescent="0.2">
      <c r="A56" t="s">
        <v>705</v>
      </c>
      <c r="B56">
        <v>32</v>
      </c>
      <c r="C56">
        <v>55</v>
      </c>
    </row>
    <row r="57" spans="1:3" x14ac:dyDescent="0.2">
      <c r="A57" t="s">
        <v>706</v>
      </c>
      <c r="B57">
        <v>54</v>
      </c>
      <c r="C57">
        <v>40</v>
      </c>
    </row>
    <row r="58" spans="1:3" x14ac:dyDescent="0.2">
      <c r="A58" t="s">
        <v>707</v>
      </c>
      <c r="B58">
        <v>11</v>
      </c>
      <c r="C58">
        <v>16</v>
      </c>
    </row>
    <row r="59" spans="1:3" x14ac:dyDescent="0.2">
      <c r="A59" t="s">
        <v>708</v>
      </c>
      <c r="B59">
        <v>31</v>
      </c>
      <c r="C59">
        <v>1</v>
      </c>
    </row>
    <row r="60" spans="1:3" x14ac:dyDescent="0.2">
      <c r="A60" t="s">
        <v>709</v>
      </c>
      <c r="B60">
        <v>12</v>
      </c>
      <c r="C60">
        <v>14</v>
      </c>
    </row>
    <row r="61" spans="1:3" x14ac:dyDescent="0.2">
      <c r="A61" t="s">
        <v>710</v>
      </c>
      <c r="B61">
        <v>13</v>
      </c>
      <c r="C61">
        <v>47</v>
      </c>
    </row>
    <row r="62" spans="1:3" x14ac:dyDescent="0.2">
      <c r="A62" s="66" t="s">
        <v>711</v>
      </c>
    </row>
    <row r="63" spans="1:3" x14ac:dyDescent="0.2">
      <c r="A63" t="s">
        <v>712</v>
      </c>
      <c r="B63">
        <v>24</v>
      </c>
      <c r="C63">
        <v>30</v>
      </c>
    </row>
    <row r="64" spans="1:3" x14ac:dyDescent="0.2">
      <c r="A64" t="s">
        <v>713</v>
      </c>
      <c r="B64">
        <v>19</v>
      </c>
      <c r="C64">
        <v>53</v>
      </c>
    </row>
    <row r="65" spans="1:3" x14ac:dyDescent="0.2">
      <c r="A65" t="s">
        <v>714</v>
      </c>
      <c r="B65">
        <v>9</v>
      </c>
      <c r="C65">
        <v>30</v>
      </c>
    </row>
    <row r="66" spans="1:3" x14ac:dyDescent="0.2">
      <c r="A66" t="s">
        <v>715</v>
      </c>
      <c r="B66">
        <v>6</v>
      </c>
      <c r="C66">
        <v>14</v>
      </c>
    </row>
    <row r="67" spans="1:3" x14ac:dyDescent="0.2">
      <c r="A67" t="s">
        <v>716</v>
      </c>
      <c r="B67">
        <v>16</v>
      </c>
      <c r="C67">
        <v>57</v>
      </c>
    </row>
    <row r="68" spans="1:3" x14ac:dyDescent="0.2">
      <c r="A68" t="s">
        <v>717</v>
      </c>
      <c r="B68">
        <v>14</v>
      </c>
      <c r="C68">
        <v>4</v>
      </c>
    </row>
    <row r="69" spans="1:3" x14ac:dyDescent="0.2">
      <c r="A69" s="35" t="str">
        <f>"总时长："&amp;TEXT(SUM(B:B)/1440+SUM(C:C)/86400,"[h]:mm:ss")</f>
        <v>总时长：28:35:01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422AE2-1435-4D63-A4A0-EC2A97CE768E}">
  <dimension ref="A1:D23"/>
  <sheetViews>
    <sheetView topLeftCell="A2" workbookViewId="0">
      <selection activeCell="A23" sqref="A23"/>
    </sheetView>
  </sheetViews>
  <sheetFormatPr defaultRowHeight="14.25" x14ac:dyDescent="0.2"/>
  <cols>
    <col min="1" max="1" width="45" bestFit="1" customWidth="1"/>
  </cols>
  <sheetData>
    <row r="1" spans="1:4" x14ac:dyDescent="0.2">
      <c r="A1" s="13" t="s">
        <v>35</v>
      </c>
      <c r="B1" s="14" t="s">
        <v>36</v>
      </c>
      <c r="C1" s="14" t="s">
        <v>37</v>
      </c>
      <c r="D1" s="15" t="s">
        <v>53</v>
      </c>
    </row>
    <row r="2" spans="1:4" ht="19.5" x14ac:dyDescent="0.2">
      <c r="A2" s="68" t="s">
        <v>740</v>
      </c>
    </row>
    <row r="3" spans="1:4" x14ac:dyDescent="0.2">
      <c r="A3" s="67" t="s">
        <v>720</v>
      </c>
      <c r="B3">
        <v>3</v>
      </c>
      <c r="C3">
        <v>34</v>
      </c>
    </row>
    <row r="4" spans="1:4" x14ac:dyDescent="0.2">
      <c r="A4" s="67" t="s">
        <v>721</v>
      </c>
      <c r="B4">
        <v>17</v>
      </c>
      <c r="C4">
        <v>2</v>
      </c>
    </row>
    <row r="5" spans="1:4" x14ac:dyDescent="0.2">
      <c r="A5" s="67" t="s">
        <v>722</v>
      </c>
      <c r="B5">
        <v>9</v>
      </c>
      <c r="C5">
        <v>41</v>
      </c>
    </row>
    <row r="6" spans="1:4" x14ac:dyDescent="0.2">
      <c r="A6" s="67" t="s">
        <v>723</v>
      </c>
      <c r="B6">
        <v>17</v>
      </c>
      <c r="C6">
        <v>44</v>
      </c>
    </row>
    <row r="7" spans="1:4" x14ac:dyDescent="0.2">
      <c r="A7" s="67" t="s">
        <v>724</v>
      </c>
      <c r="B7">
        <v>32</v>
      </c>
      <c r="C7">
        <v>30</v>
      </c>
    </row>
    <row r="8" spans="1:4" x14ac:dyDescent="0.2">
      <c r="A8" s="67" t="s">
        <v>725</v>
      </c>
      <c r="B8">
        <v>31</v>
      </c>
      <c r="C8">
        <v>45</v>
      </c>
    </row>
    <row r="9" spans="1:4" x14ac:dyDescent="0.2">
      <c r="A9" s="67" t="s">
        <v>726</v>
      </c>
      <c r="B9">
        <v>19</v>
      </c>
      <c r="C9">
        <v>0</v>
      </c>
    </row>
    <row r="10" spans="1:4" x14ac:dyDescent="0.2">
      <c r="A10" s="67" t="s">
        <v>727</v>
      </c>
      <c r="B10">
        <v>20</v>
      </c>
      <c r="C10">
        <v>48</v>
      </c>
    </row>
    <row r="11" spans="1:4" x14ac:dyDescent="0.2">
      <c r="A11" s="67" t="s">
        <v>728</v>
      </c>
      <c r="B11">
        <v>11</v>
      </c>
      <c r="C11">
        <v>2</v>
      </c>
    </row>
    <row r="12" spans="1:4" x14ac:dyDescent="0.2">
      <c r="A12" s="67" t="s">
        <v>729</v>
      </c>
      <c r="B12">
        <v>28</v>
      </c>
      <c r="C12">
        <v>37</v>
      </c>
    </row>
    <row r="13" spans="1:4" x14ac:dyDescent="0.2">
      <c r="A13" s="67" t="s">
        <v>730</v>
      </c>
      <c r="B13">
        <v>27</v>
      </c>
      <c r="C13">
        <v>32</v>
      </c>
    </row>
    <row r="14" spans="1:4" x14ac:dyDescent="0.2">
      <c r="A14" s="67" t="s">
        <v>731</v>
      </c>
      <c r="B14">
        <v>15</v>
      </c>
      <c r="C14">
        <v>11</v>
      </c>
    </row>
    <row r="15" spans="1:4" x14ac:dyDescent="0.2">
      <c r="A15" s="67" t="s">
        <v>732</v>
      </c>
      <c r="B15">
        <v>40</v>
      </c>
      <c r="C15">
        <v>31</v>
      </c>
    </row>
    <row r="16" spans="1:4" x14ac:dyDescent="0.2">
      <c r="A16" s="67" t="s">
        <v>733</v>
      </c>
      <c r="B16">
        <v>20</v>
      </c>
      <c r="C16">
        <v>33</v>
      </c>
    </row>
    <row r="17" spans="1:3" x14ac:dyDescent="0.2">
      <c r="A17" s="67" t="s">
        <v>734</v>
      </c>
      <c r="B17">
        <v>16</v>
      </c>
      <c r="C17">
        <v>58</v>
      </c>
    </row>
    <row r="18" spans="1:3" x14ac:dyDescent="0.2">
      <c r="A18" s="67" t="s">
        <v>735</v>
      </c>
      <c r="B18">
        <v>36</v>
      </c>
      <c r="C18">
        <v>57</v>
      </c>
    </row>
    <row r="19" spans="1:3" x14ac:dyDescent="0.2">
      <c r="A19" s="67" t="s">
        <v>736</v>
      </c>
      <c r="B19">
        <v>30</v>
      </c>
      <c r="C19">
        <v>4</v>
      </c>
    </row>
    <row r="20" spans="1:3" x14ac:dyDescent="0.2">
      <c r="A20" s="67" t="s">
        <v>737</v>
      </c>
      <c r="B20">
        <v>32</v>
      </c>
      <c r="C20">
        <v>40</v>
      </c>
    </row>
    <row r="21" spans="1:3" x14ac:dyDescent="0.2">
      <c r="A21" s="67" t="s">
        <v>738</v>
      </c>
      <c r="B21">
        <v>37</v>
      </c>
      <c r="C21">
        <v>20</v>
      </c>
    </row>
    <row r="22" spans="1:3" x14ac:dyDescent="0.2">
      <c r="A22" s="67" t="s">
        <v>739</v>
      </c>
      <c r="B22">
        <v>15</v>
      </c>
      <c r="C22">
        <v>49</v>
      </c>
    </row>
    <row r="23" spans="1:3" x14ac:dyDescent="0.2">
      <c r="A23" t="str">
        <f>"总时长："&amp;TEXT(SUM(B:B)/1440+SUM(C:C)/86400,"[h]:mm:ss")</f>
        <v>总时长：7:45:18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1HTML_scratch</vt:lpstr>
      <vt:lpstr>2HTML_guide</vt:lpstr>
      <vt:lpstr>3HTML_end</vt:lpstr>
      <vt:lpstr>4HTML_proj</vt:lpstr>
      <vt:lpstr>5JS_intro</vt:lpstr>
      <vt:lpstr>6JS_end</vt:lpstr>
      <vt:lpstr>7JS_proj</vt:lpstr>
      <vt:lpstr>8H5CSS3</vt:lpstr>
      <vt:lpstr>9JS_ES6</vt:lpstr>
      <vt:lpstr>10JS_dtl</vt:lpstr>
      <vt:lpstr>11Coder_proj</vt:lpstr>
      <vt:lpstr>12Network</vt:lpstr>
      <vt:lpstr>13Git</vt:lpstr>
      <vt:lpstr>14ThirdLib</vt:lpstr>
      <vt:lpstr>15Build</vt:lpstr>
      <vt:lpstr>16Vue_scratch</vt:lpstr>
      <vt:lpstr>17Vue_intro</vt:lpstr>
      <vt:lpstr>18Vue_comp</vt:lpstr>
      <vt:lpstr>19Miniapp</vt:lpstr>
      <vt:lpstr>20Echarts</vt:lpstr>
      <vt:lpstr>21Webpack</vt:lpstr>
      <vt:lpstr>22BPMN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Safe Winter</dc:creator>
  <cp:lastModifiedBy>Safe Winter</cp:lastModifiedBy>
  <dcterms:created xsi:type="dcterms:W3CDTF">2025-03-25T18:21:32Z</dcterms:created>
  <dcterms:modified xsi:type="dcterms:W3CDTF">2026-01-25T09:13:17Z</dcterms:modified>
</cp:coreProperties>
</file>